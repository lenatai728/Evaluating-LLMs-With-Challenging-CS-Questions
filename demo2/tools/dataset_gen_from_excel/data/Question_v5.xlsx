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lena/Desktop/CAPSTONE PROJECT/FYP/"/>
    </mc:Choice>
  </mc:AlternateContent>
  <xr:revisionPtr revIDLastSave="0" documentId="13_ncr:1_{1A6D800F-DBA1-8A40-9F6F-7F3C15329323}" xr6:coauthVersionLast="47" xr6:coauthVersionMax="47" xr10:uidLastSave="{00000000-0000-0000-0000-000000000000}"/>
  <bookViews>
    <workbookView xWindow="140" yWindow="920" windowWidth="14880" windowHeight="17560" xr2:uid="{00000000-000D-0000-FFFF-FFFF00000000}"/>
  </bookViews>
  <sheets>
    <sheet name="eng question set" sheetId="2" r:id="rId1"/>
    <sheet name="chinese question set" sheetId="3" r:id="rId2"/>
  </sheets>
  <definedNames>
    <definedName name="_xlnm._FilterDatabase" localSheetId="0" hidden="1">'eng question set'!$A$1:$F$1121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2"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3" i="2"/>
  <c r="I2" i="2"/>
  <c r="L6" i="2"/>
  <c r="L5" i="2"/>
  <c r="L4" i="2"/>
  <c r="L3" i="2"/>
  <c r="L2" i="2"/>
  <c r="O6" i="2"/>
  <c r="O5" i="2"/>
  <c r="O4" i="2"/>
  <c r="O3" i="2"/>
  <c r="O2" i="2"/>
  <c r="L8" i="2" l="1"/>
  <c r="O8" i="2"/>
</calcChain>
</file>

<file path=xl/sharedStrings.xml><?xml version="1.0" encoding="utf-8"?>
<sst xmlns="http://schemas.openxmlformats.org/spreadsheetml/2006/main" count="7330" uniqueCount="3301">
  <si>
    <t>id</t>
  </si>
  <si>
    <t>domain</t>
  </si>
  <si>
    <t>question_type</t>
  </si>
  <si>
    <t>question_prompt</t>
  </si>
  <si>
    <t>gold_answer</t>
  </si>
  <si>
    <t>gold_rationale</t>
  </si>
  <si>
    <t>Difficulty</t>
  </si>
  <si>
    <t>Domain</t>
  </si>
  <si>
    <t>Count</t>
  </si>
  <si>
    <t>Type</t>
  </si>
  <si>
    <t>Algorithms and Complexity</t>
  </si>
  <si>
    <t>OE</t>
  </si>
  <si>
    <t>Devise an algorithm that checks whether a directed graph G = (V, E) is strongly connected, operating in O(|V| + |E|) time.</t>
  </si>
  <si>
    <t>Perform a depth-first search from an arbitrary vertex; if all vertices are visited, reverse all edges and perform another DFS from the same vertex. The graph is strongly connected if both searches visit all vertices.</t>
  </si>
  <si>
    <t>Perform two DFS traversals from any vertex: one on the original graph and one on its transpose. If both visits reach all vertices, the graph is strongly connected, as this ensures mutual reachability between every pair of vertices.</t>
  </si>
  <si>
    <t>Hard</t>
  </si>
  <si>
    <t>MC</t>
  </si>
  <si>
    <t>Given three lists A, B, and C, each of size n, count all triples (a, b, c) such that a ∈ A, b ∈ B, c ∈ C and a &lt; b &lt; c. Provide an algorithm that runs in O(n log n) time.</t>
  </si>
  <si>
    <t>Sort each list, then for each b in B, count a's less than b in A and c's greater than b in C using binary search; sum the products. This yields O(n log n) time.</t>
  </si>
  <si>
    <t>Sort A and C, then for each b in B, use binary search to count a's less than b and c's greater than b, multiply these counts, and sum over all b.</t>
  </si>
  <si>
    <t>Computer Systems and Architecture</t>
  </si>
  <si>
    <t>MS</t>
  </si>
  <si>
    <t>Given a sequence of positive numbers (v_1, v_2, ..., v_n), the goal is to select a subset of these numbers with the maximum possible sum, subject to the constraint that no two selected numbers are consecutive in the sequence (i.e., if (v_i) is selected, then (v_{i-1}) and (v_{i+1}) cannot be selected). Consider the greedy algorithm that repeatedly chooses the largest number from the remaining sequence that is not adjacent to any already selected number. Demonstrate that this greedy algorithm does not always produce an optimal solution.</t>
  </si>
  <si>
    <t>The greedy algorithm that repeatedly selects the largest available number not adjacent to any already chosen number does not always yield an optimal solution. A clear counterexample is the sequence [1, 8, 9, 8, 1]. Greedy approach: It first picks the largest number, 9, which blocks its neighbors (the two 8s). It can then only pick the two 1s, resulting in a total sum of (9 + 1 + 1 = 11)</t>
  </si>
  <si>
    <t>The greedy algorithm fails because it picks the largest number, like 9 in [1,8,9,8,1], blocking adjacent 8s, whereas skipping 9 allows selecting both 8s for a higher sum of 16.</t>
  </si>
  <si>
    <t>Moderate</t>
  </si>
  <si>
    <t>Data Structures</t>
  </si>
  <si>
    <t>FB</t>
  </si>
  <si>
    <t>Given a sequence of positive numbers (v_1, v_2, ..., v_n), the goal is to select a subset of these numbers with the maximum possible sum, subject to the constraint that no two selected numbers are consecutive in the sequence (i.e., if (v_i) is selected, then (v_{i-1}) and (v_{i+1}) cannot be selected). Consider the following algorithm: let C₁ be the collection of all even indexed numbers, and C₂ be the collection of all odd indexed numbers, and select the collection that has greater total summation. Show that this algorithm is incorrect.</t>
  </si>
  <si>
    <t>The algorithm is incorrect because it fails to consider that the optimal solution might skip more than one consecutive element to achieve a higher sum, rather than simply alternating between even and odd indices. For example, for the list [3, 2, 1, 4], the algorithm would compare C₁ = {v₂, v₄} = {2, 4} with sum 6, and C₂ = {v₁, v₃} = {3, 1} with sum 4, selecting C₁ with sum 6. However, the optimal solution is {v₁, v₄} = {3, 4} with sum 7, which includes elements from both even and odd indices while skipping two consecutive elements (v₂ and v₃).</t>
  </si>
  <si>
    <t>The algorithm only compares sums of all even or all odd indices, but the optimal solution may skip two consecutive elements, as in [3,2,1,4] where {3,4} yields a higher sum than either set.</t>
  </si>
  <si>
    <t>Databases and Information Systems</t>
  </si>
  <si>
    <t>TF</t>
  </si>
  <si>
    <t>Given a sequence of positive numbers (v_1, v_2, ..., v_n), the goal is to select a subset of these numbers with the maximum possible sum, subject to the constraint that no two selected numbers are consecutive in the sequence (i.e., if (v_i) is selected, then (v_{i-1}) and (v_{i+1}) cannot be selected). Design a polynomial-time algorithm to find the optimal solution. Justify its correctness and running time.</t>
  </si>
  <si>
    <t>Use dynamic programming: let \( dp[i] \) be the max sum for the first \( i \) elements. Recurrence: \( dp[i] = \max(dp[i-1], dp[i-2] + v_i) \), with base cases \( dp[0]=0, dp[1]=v_1 \). This runs in \( O(n) \) time and correctly considers including or excluding each element.</t>
  </si>
  <si>
    <t>The algorithm uses dynamic programming with recurrence \( dp[i] = \max(dp[i-1], dp[i-2] + v_i) \) to compute the maximum sum without selecting consecutive elements, achieving \( O(n) \) time.</t>
  </si>
  <si>
    <t>Software Engineering and AI Fundamentals</t>
  </si>
  <si>
    <t>Given n points on a real line representing towns, place the minimum number of train stations on the line such that every town is within distance R of at least one station. Stations may be located at any point on the line. Design a greedy algorithm for this problem, and prove its correctness and polynomial-time running time.</t>
  </si>
  <si>
    <t>A greedy algorithm places a station at the first uncovered town's position plus R, covering all towns within 2R to its left. This ensures minimal stations by always extending coverage maximally, runs in O(n log n) after sorting.</t>
  </si>
  <si>
    <t>Sort towns by coordinate, then repeatedly place a station at the leftmost uncovered town's position plus R, covering all towns within distance R. This greedy choice yields the minimum stations and runs in \( O(n \log n) \) time.</t>
  </si>
  <si>
    <t>Given a set of n rectangles, each characterized by two positive integers a and b representing its dimensions, a rectangle X with sides (a, b) fits inside rectangle Y with sides (c, d) if either (a &lt; c and b &lt; d) or (b &lt; c and a &lt; d), allowing rotation by 90 degrees. For example, rectangle (1,5) fits into (6,2) but not into (3,4). The problem is to determine the greatest possible number of rectangles that can be arranged sequentially so that each rectangle (aside from the last) fits inside the subsequent rectangle.
Construct a polynomial-time algorithm to solve this problem, and provide a justification for its correctness and an analysis of its time complexity.</t>
  </si>
  <si>
    <t>Sort rectangles by min side ascending, then max side ascending. Compute the longest increasing subsequence on max sides, ignoring those where min sides are equal and max side not strictly greater. This runs in O(n log n) time.</t>
  </si>
  <si>
    <t>The problem reduces to finding the longest chain where both min and max dimensions strictly increase, solvable via dynamic programming in O(n²) time after sorting rectangles by their smaller side.</t>
  </si>
  <si>
    <t>Design an O(n² logn)-time algorithm to determine whether there exist three points in a set of n points in a 2-dimentional plane are colinear. We can assume all these n points are distinct.</t>
  </si>
  <si>
    <t>Sort points by x, then for each point, compute slopes to all later points, sort these slopes in O(n log n) time, and check for duplicates; overall O(n² log n) due to repeated sorting.</t>
  </si>
  <si>
    <t>For each point, compute slopes to all later points, sort them, and check for duplicates; if found, three points are collinear. This yields \(O(n^2 \log n)\) time.</t>
  </si>
  <si>
    <t xml:space="preserve">Dijkstra’s algorithm for shortest path and Prim’s minimum spanning tree algorithm have the same big-Oh worst case running time. </t>
  </si>
  <si>
    <t>Both algorithms have the same asymptotic complexity, typically O((V+E) log V), due to their similar priority-queue-based structure.</t>
  </si>
  <si>
    <t>Prim’s and Kruskal’s algorithms for finding minimum spanning trees remain effective even when edges in the graph have negative weights.</t>
  </si>
  <si>
    <t>Negative weights do not affect MST algorithms because they rely on comparing and summing weights, not path distances.</t>
  </si>
  <si>
    <t xml:space="preserve">For large input sizes, mergesort will always run faster than insertion sort (on the same input). </t>
  </si>
  <si>
    <t>Mergesort's O(n log n) outperforms insertion sort's O(n²) for large n due to asymptotic growth rates.</t>
  </si>
  <si>
    <t>Easy</t>
  </si>
  <si>
    <t>Merging heaps is faster with binary heaps than with leftist or skew heaps, because we only need to concatenate the heap arrays and then run BuildHeap on the result.</t>
  </si>
  <si>
    <t>Binary heaps lack efficient merge support, unlike leftist or skew heaps designed for fast merging.</t>
  </si>
  <si>
    <t>In hash table implementations, what is the key advantage of open addressing compared to separate chaining?</t>
  </si>
  <si>
    <t>Better cache performance due to storing all data within the hash table array itself.</t>
  </si>
  <si>
    <t>Open addressing improves cache performance by storing all data directly in the hash table array, enhancing memory locality and reducing cache misses compared to separate chaining's scattered linked list nodes.</t>
  </si>
  <si>
    <t xml:space="preserve">Which Abstract Data Type do binomial queues implement? </t>
  </si>
  <si>
    <t>Priority Queue</t>
  </si>
  <si>
    <t>Binomial queues implement the priority queue ADT, using binomial trees with heap properties to efficiently support insert, find-min, and delete-min operations through logarithmic-time merging.</t>
  </si>
  <si>
    <t>Are Abstract Data Type better than leftist heaps?</t>
  </si>
  <si>
    <t>No, Abstract Data Types are not "better" than leftist heaps; they are different concepts that cannot be directly compared in terms of superiority.</t>
  </si>
  <si>
    <t>ADTs are conceptual models, while leftist heaps are specific implementations for priority queues; comparing them is like comparing a blueprint to a particular engine design.</t>
  </si>
  <si>
    <t xml:space="preserve">Suppose we choose the median of five items as the pivot in quicksort. If we have an N element array, then we find the median of the elements located at the following positions: left (= 0), right (= N – 1), center (the average of left and right, rounded down), leftOfCenter (the average of left and center, rounded down), and rightOfCenter (the average of right and center, rounded down). The median of these elements is the pivot.
What is the worst case running time of this version of quicksort? </t>
  </si>
  <si>
    <t>O(N^2)</t>
  </si>
  <si>
    <t>The pivot is the median of five fixed positions, not the true median. An adversary can arrange elements so this pivot is always extreme, causing O(N) recursive levels and O(N²) total comparisons.</t>
  </si>
  <si>
    <t>Kruskal’s minimum spanning tree algorithm uses a heap to quickly find the lowest cost edge not already chosen. What would be the running time of the algorithm if instead of using a heap, the algorithm used a simple unsorted array to store the edges?</t>
  </si>
  <si>
    <t>Using an unsorted array would require scanning all edges to find the minimum each time, increasing the time to O(E²) instead of O(E log E) with a heap, as each of E iterations scans up to E edges.</t>
  </si>
  <si>
    <t>Using an unsorted array requires scanning all edges to find the minimum each time, leading to O(|E|²) time instead of the O(|E| log |E|) achieved with a heap.</t>
  </si>
  <si>
    <t>In the union/find data structure of N items, if we use union-by-size without path compression, then any combination of M union and/or find operations takes at most ______ time.</t>
  </si>
  <si>
    <t>\( O(M \log N) \)</t>
  </si>
  <si>
    <t>Union-by-size limits tree depth to \(O(\log N)\), so each find (and thus each union, which uses finds) takes \(O(\log N)\) time. Therefore, \(M\) operations require at most \(O(M \log N)\) time.</t>
  </si>
  <si>
    <t>Describe or illustrate the binary min heap that results from inserting the sequence 77, 22, 9, 68, 16, 34, 13, 8 into an initially empty binary min heap.</t>
  </si>
  <si>
    <t>The final binary min heap after inserting the sequence 77, 22, 9, 68, 16, 34, 13, 8 into an initially empty binary min heap is: Tree representation: ``` 8 /   \ 9     13 / \   /  \ 22 16 34  77 / 68 ``` Array representation: [8, 9, 13, 22, 16, 34, 77, 68]</t>
  </si>
  <si>
    <t>The final min heap is [8, 9, 13, 16, 68, 34, 22, 77], achieved by inserting each element at the next leaf and bubbling it up to maintain the min-heap property.</t>
  </si>
  <si>
    <t>Imagine that the following operations are performed on an initially empty splay tree: Insert(1), Insert(10), Insert (5), Insert (3), Insert (7), Insert (13), Find (3).
Show the state of the splay tree after performing each of the above operations. Be sure to label and describe each of your trees with what operations you have just completed.</t>
  </si>
  <si>
    <t>After Insert(1): Tree contains only node 1.  
After Insert(10): Tree has 10 as root, 1 as left child.  
After Insert(5): Tree has 5 as root, 1 as left child, 10 as right child.  
After Insert(3): Tree has 3 as root, 1 as left child, 5 as right child (with 10 as right child of 5).  
After Insert(7): Tree has 7 as root, 5 as left child (with 3 as left child of 5 and 1 as left child of 3), 10 as right child.
After Insert(13): Tree has 13 as root, 10 as left child (with 7 as left child of 10 and 5 as left child of 7, etc.), no right child. 
After Find(3): Tree has 3 as root, 1 as left child, 10 as right child (with 5 as left child of 10 and 7 as right child of 5, and 13 as right child of 10).</t>
  </si>
  <si>
    <t>After each insertion or find, splaying brings the accessed node to the root via rotations, resulting in the final tree with 3 as root, 1 as left child, and 10 as right child with its subtree.</t>
  </si>
  <si>
    <t>Given n cities with specified costs for building a road between any pair, design a road network that ensures connectivity between all cities (directly or through intermediate cities) at minimum total cost. Outline a greedy algorithm for this problem, prove it produces an optimal solution, and state its time complexity.</t>
  </si>
  <si>
    <t>Use Kruskal's algorithm: sort all possible roads by cost in non-decreasing order, then iterate through the sorted list, adding each road to the network if it connects two cities that are not already connected (i.e., if adding it does not create a cycle). The algorithm stops when all cities are connected (i.e., when n-1 roads have been added). The running time is O(m log m) where m is the number of possible roads (m = n(n-1)/2 for a complete graph).</t>
  </si>
  <si>
    <t>Kruskal's algorithm greedily adds the cheapest edge that avoids cycles, ensuring optimality via the cut property, with O(m log m) time using union-find.</t>
  </si>
  <si>
    <t>For languages such as Chinese and Japanese, which are written without spaces between words, you must design an algorithm to identify likely word boundaries in a given text. Analogously, in English, this involves taking a string like "meetateight" and determining the best segmentation, such as "meet at eight". A function Quality() is provided that returns a numerical score for any string, reflecting how much it resembles a word in the language, with higher scores indicating greater word-likeness. The total quality of a segmentation is the sum of the qualities of its individual words. Design a bottom-up dynamic programming algorithm that, given a string y, finds a segmentation with the maximum total quality. Provide the recurrence relation, pseudocode, and a running time analysis, considering each call to Quality() as an O(1) operation.</t>
  </si>
  <si>
    <t>Let \( n \) be the length of the input string \( y \), indexed from 1 to \( n \). Define \( dp[i] \) as the maximum total quality achievable for the prefix \( y[1..i] \). The recurrence relation is:  
\[
dp[i] = \max_{1 \leq j \leq i} \left( dp[j-1] + \text{Quality}(y[j..i]) \right),
\]
with base case \( dp[0] = 0 \). The optimal segmentation is reconstructed by backtracking from \( dp[n] \).  
Pseudocode:  
```
function Segment(y):
    n = length(y)
    let dp[0..n] be an array initialized to -infinity
    dp[0] = 0
    let prev[1..n] be an array for backtracking
    for i = 1 to n:
        for j = 1 to i:
            candidate = dp[j-1] + Quality(y[j..i])
            if candidate &gt; dp[i]:
                dp[i] = candidate
                prev[i] = j-1  // store split point before word y[j..i]
    // Reconstruction
    splits = []
    i = n
    while i &gt; 0:
        start = prev[i] + 1
        add word y[start..i] to segmentation (from start to end)
        i = prev[i]
    reverse segmentation order
    return segmentation and dp[n]
```
Running time: \( O(n^2) \), with \( O(n) \) space for \( dp \) and \( prev \).</t>
  </si>
  <si>
    <t>To find the optimal segmentation maximizing total word quality, use dynamic programming: for each prefix length \( i \), compute \( dp[i] \) as the maximum over all possible last words \( y[j..i] \) of \( dp[j-1] + \text{Quality}(y[j..i]) \), with \( dp[0]=0 \). This yields an \( O(n^2) \) algorithm.</t>
  </si>
  <si>
    <t>Assume there exists a program that decides, for any given program, whether it halts. Construct a program that takes a natural number N and performs the following steps:
1. Generate all programs of size at most N bits.
2. Use the halting decider to determine which of these programs halt.
3. Simulate each program that halts and record its output.
4. Output twice the maximum value among the recorded outputs.
Will the program terminate for any natural number N?</t>
  </si>
  <si>
    <t>The program halts for every natural number \( N \).</t>
  </si>
  <si>
    <t>Given a halting decider, the program enumerates finitely many programs of size ≤ N, uses the decider to identify which halt, simulates those (guaranteed to terminate), and computes an output, so every step halts for any N.</t>
  </si>
  <si>
    <t>Assume there exists a program that decides, for any given program, whether it halts. Construct a program that takes a natural number N and performs the following steps:
1. Generate all programs of size at most N bits.
2. Use the halting decider to determine which of these programs halt.
3. Simulate each program that halts and record its output.
4. Output twice the maximum value among the recorded outputs.
Show that the size of this program in bits is log₂ N + O(1).</t>
  </si>
  <si>
    <t>The program size is log₂ N + O(1) bits because it can be encoded by storing N using log₂ N bits plus a constant-size interpreter that uses the assumed halting decider.</t>
  </si>
  <si>
    <t>The program stores \(N\) in \(\log_2 N\) bits, with the rest as constant code using the halting decider, totaling \(\log_2 N + O(1)\) bits.</t>
  </si>
  <si>
    <t>Assume there exists a program that decides, for any given program, whether it halts. Construct a program that takes a natural number N and performs the following steps:
1. Generate all programs of size at most N bits.
2. Use the halting decider to determine which of these programs halt.
3. Simulate each program that halts and record its output.
4. Output twice the maximum value among the recorded outputs.
Demonstrate that: (i) there is an integer N₀ such that for all N ≥ N₀, the inequality log₂ N + O(1) &lt; N holds, and (ii) for any N satisfying this inequality, the constructed program is among the programs generated in step (2).</t>
  </si>
  <si>
    <t>The constructed program must be among the generated programs for sufficiently large N because its size is bounded by log₂ N + O(1), which becomes less than N for large N, forcing it to be included in the enumeration.</t>
  </si>
  <si>
    <t>The program's size is log₂ N + O(1), which is less than N for sufficiently large N, so it must be included in its own enumeration of programs up to size N.</t>
  </si>
  <si>
    <t>Assume there exists a program that decides, for any given program, whether it halts. Construct a program that takes a natural number N and performs the following steps:
1. Generate all programs of size at most N bits.
2. Use the halting decider to determine which of these programs halt.
3. Simulate each program that halts and record its output.
4. Output twice the maximum value among the recorded outputs.
Demonstrate that this leads to a contradiction, concluding that no algorithm can solve the halting problem for arbitrary programs.</t>
  </si>
  <si>
    <t>The described construction leads to a contradiction, proving that a halting decider cannot exist.</t>
  </si>
  <si>
    <t>Assuming a halting decider exists, constructing a program that uses it to analyze itself leads to a contradiction: the decider must incorrectly predict the program's own halting behavior, proving no such decider can exist.</t>
  </si>
  <si>
    <t>How many frequent (k-1)-sequences are contained by a frequent k-sequence?
A. k-1
B. k
C. k+1
D. Unknown</t>
  </si>
  <si>
    <t>B</t>
  </si>
  <si>
    <t>A frequent k-sequence contains exactly k frequent (k-1)-sequences, as removing one item from each of the k positions yields distinct subsequences, all of which remain frequent due to the Apriori property.</t>
  </si>
  <si>
    <t>Which sorting algorithm is best if the list is already sorted? Why?</t>
  </si>
  <si>
    <t>Insertion Sort</t>
  </si>
  <si>
    <t>Insertion Sort is best because it runs in linear time O(n) for a sorted list, requiring only n-1 comparisons and no swaps, making it highly efficient and adaptive for already ordered data.</t>
  </si>
  <si>
    <t>Which of the following memory types has the least access time in general: 
A. DRAM
B. SRAM
C. Magnetic Disk
D. Magnetic Tape</t>
  </si>
  <si>
    <t>SRAM has the shortest access time because it uses fast electronic flip-flops without mechanical parts or refresh cycles, making it faster than DRAM, magnetic disks, or sequential-access tapes.</t>
  </si>
  <si>
    <t>Which I/O techniques has better utilization of CPU cycles when there's no I/O activity?
A. Interrupt
B. Polling</t>
  </si>
  <si>
    <t>A</t>
  </si>
  <si>
    <t>Interrupt-driven I/O yields better CPU utilization during no I/O activity because the CPU can execute other tasks without interruption, while polling wastes cycles on unnecessary status checks.</t>
  </si>
  <si>
    <t>In a direct-mapped cache with 16-word blocks, a word at address 0111 0011 1100 1000 is stored in a cache line. Provide the address of another word that must be stored in that line:_____.</t>
  </si>
  <si>
    <t>0111 0011 1100 0000</t>
  </si>
  <si>
    <t>In a direct-mapped cache with 16-word blocks, the block offset is the 4 least significant bits. Another word in the same block must share all higher address bits, so changing only the offset to 0000 yields 0111 0011 1100 0000.</t>
  </si>
  <si>
    <t>In which of the following I/O techniques, the processor has the minimum involvement in the I/O process? 
A. DMA, 
B. Programed I/O
C. Interrupt-driven I/O</t>
  </si>
  <si>
    <t>DMA minimizes processor involvement by using a dedicated controller to handle data transfers directly between memory and I/O devices, freeing the CPU to perform other tasks until the entire transfer is complete.</t>
  </si>
  <si>
    <t>Given a magnetic disk with the following properties: (1) Time of one rotation is 10 ms; (2) Average seek time = 6 ms, Sector = 512 Bytes, Track = 100 sectors. Then, counting from the time when address is issued, the time it takes for reading a block of 10 consecutive sectors is _____.
(For this problem, you can regard the average rotation delay as half of the time of one rotation.)</t>
  </si>
  <si>
    <t>12 ms</t>
  </si>
  <si>
    <t>The total time of 12 ms is the sum of the average seek time (6 ms), the average rotational delay (5 ms), and the transfer time for 10 consecutive sectors (1 ms).</t>
  </si>
  <si>
    <t>Consider an Error-Correction Code with dataword length M and codeword length N. Suppose M = 10. What's the minimum value of N if this code is designed to correct one error?</t>
  </si>
  <si>
    <t>To correct one error, the Hamming bound requires \(2^{N-10} \ge N+1\). Testing values shows \(N=13\) fails (\(8 &lt; 14\)), while \(N=14\) satisfies it (\(16 \ge 15\)), and a shortened Hamming code achieves this.</t>
  </si>
  <si>
    <t>Given a memory chip package has 4 data pins and a data transfer rate of 2 million transfers per second (MT/s), the memory cycle time is ______ seconds. The duration to transfer 108 bits is ______ seconds.</t>
  </si>
  <si>
    <t>\( 5 \times 10^{-7}, 1.35 \times 10^{-5} \)</t>
  </si>
  <si>
    <t>Memory cycle time is the reciprocal of the transfer rate: \(1 / (2 \times 10^6) = 5 \times 10^{-7}\) seconds. With 4 bits per transfer, 108 bits require 27 transfers, taking \(27 \times 5 \times 10^{-7} = 1.35 \times 10^{-5}\) seconds.</t>
  </si>
  <si>
    <t>Name the two addressing schemes for I/O: _____ &amp; _____</t>
  </si>
  <si>
    <t>Memory-mapped I/O, Isolated I/O</t>
  </si>
  <si>
    <t>Memory-mapped I/O uses the same address space as memory, allowing standard memory instructions for device access. Isolated I/O uses a separate address space and requires dedicated I/O instructions.</t>
  </si>
  <si>
    <t>Explain why associative mapping in Cache design has a relatively longer hit time.</t>
  </si>
  <si>
    <t>Associative mapping has a relatively longer hit time because it requires parallel searching of all cache lines to find a match.</t>
  </si>
  <si>
    <t>Associative mapping requires parallel comparison of all cache lines to locate a block, which involves more complex hardware and signal propagation delays than a direct index lookup, thus increasing the hit time.</t>
  </si>
  <si>
    <t>C</t>
  </si>
  <si>
    <t>Statement A is true as NIST no longer mandates special characters. B is true by definition of cryptanalysis. C is false because true randomness requires a non-deterministic source, not a seeded algorithm. D is essentially true for binary additive stream ciphers.</t>
  </si>
  <si>
    <t>B, C, D</t>
  </si>
  <si>
    <t>A is incorrect because SHA-2 is fast and unsuitable for password storage, which requires slow, salted hashes. B is correct as security adds costs. C is correct since SHA-384 uses Merkle-Damgård. D is correct because hashing lacks encryption for confidentiality.</t>
  </si>
  <si>
    <t>Diffie-Hellman is for key exchange, not signing, making A true. A self-signed certificate lacks a CA chain, so B is true. FIDO2 uses cryptographic keys, not passwords, making C true. Encrypt-then-MAC is more secure than MAC-then-Encrypt, so D is false.</t>
  </si>
  <si>
    <t>C, D</t>
  </si>
  <si>
    <t>A is true as 256 possibilities require 8 bits. B is true as GPUs are more efficient for large-scale hashing. C is false because reduction functions generate candidate passwords, not directly find matches. D is false because AES uses 16-byte blocks, so padding increases the ciphertext size.</t>
  </si>
  <si>
    <t>A, B, D</t>
  </si>
  <si>
    <t>A true,CBC decryption requires the same IV as encryption to correctly recover the first plaintext block. B false, standard AES modes only provide confidentiality. C false, Volume-Master-Key encrypts the Full-Volume-Encryption-Key. D true, X25519 specifies a fixed prime field and base point, analogous to DH parameters (p) and (g).</t>
  </si>
  <si>
    <t>A, D</t>
  </si>
  <si>
    <t>A is false because the birthday paradox applies to strong collision resistance, not weak. D is false because CBC XORs each plaintext block with the previous ciphertext block, not the previous plaintext block.</t>
  </si>
  <si>
    <t>A regular file has a number called the ___, which is an index into an array of the i-nodes on disk.</t>
  </si>
  <si>
    <t>i-number (inode number)</t>
  </si>
  <si>
    <t>The i-number is an index into the disk's inode table, uniquely identifying a file's inode which stores its metadata and data pointers.</t>
  </si>
  <si>
    <t>A, B, C, D</t>
  </si>
  <si>
    <t>A random permutation's input and output sets are identical, so their sizes match. AES key sizes (128–256 bits) differ from its 128-bit block size. Web server certificates use domain names as subjects. HTTPS is HTTP secured by TLS.</t>
  </si>
  <si>
    <t>In a system where multiple processes communicate via shared memory, a process can update a variable in shared memory without any synchronization mechanism and still guarantee data consistency.</t>
  </si>
  <si>
    <t>Without synchronization, concurrent updates in shared memory can cause race conditions, making data consistency impossible to guarantee.</t>
  </si>
  <si>
    <t>The read and write system call takes three arguments; arg1 is fd, arg2 is void* or char*, a pointer to the memory area that holds the data to be read andarg3 is size t, the number of bytes to read/write.</t>
  </si>
  <si>
    <t>The read and write system calls each take three arguments: a file descriptor, a buffer pointer for data transfer, and a byte count.</t>
  </si>
  <si>
    <t>__ shell is used in mobile phones</t>
  </si>
  <si>
    <t>Android shell (or mobile-specific shells like sh, bash, or custom shells within mobile OS environments)</t>
  </si>
  <si>
    <t>Android uses the mksh shell for its command-line interface, while Mosh is a remote access tool designed for mobile connectivity.</t>
  </si>
  <si>
    <t>Systemd, launchd, init are all called daemon processes</t>
  </si>
  <si>
    <t>Systemd, launchd, and init are all background init systems that manage services, making them daemon processes.</t>
  </si>
  <si>
    <t xml:space="preserve"> ________ programming involves doing different tasks one after another quickly, while ________ programming means doing different tasks at the same time, which makes things faster. </t>
  </si>
  <si>
    <t>Concurrent, Parallel</t>
  </si>
  <si>
    <t>Concurrent programming switches tasks quickly on one or more cores, while parallel programming executes tasks simultaneously on multiple cores for speed.</t>
  </si>
  <si>
    <t>A  ________ kernel is designed to be easily extendable, allowing for the addition of new functionalities without interrupting the system. In contrast, a  ________ minimizes the core functions and runs most services in user space, enhancing security and stability.</t>
  </si>
  <si>
    <t xml:space="preserve">modular, microkernel </t>
  </si>
  <si>
    <t>A modular kernel allows dynamic addition of functionalities via modules without system interruption. A microkernel minimizes core functions, running most services in user space to enhance security and stability.</t>
  </si>
  <si>
    <t>Which is a Scripting language?
A. PHP 
B. Perl 
C. AWK 
D. All of the above</t>
  </si>
  <si>
    <t>D</t>
  </si>
  <si>
    <t>PHP, Perl, and AWK are all interpreted languages designed for automating tasks, making each a scripting language.</t>
  </si>
  <si>
    <t>Consider the three scheduling algorithms, FCFS, RR, and SJF. For short jobs, rank the three algorithms in the increasing order of average waiting time. Briefly explain the reasons.</t>
  </si>
  <si>
    <t>SJF, RR, FCFS</t>
  </si>
  <si>
    <t>SJF minimizes short job waiting by prioritizing them. RR interleaves execution, reducing long job blocking compared to FCFS, where short jobs wait if a long job arrives first. Thus, SJF has the lowest average waiting time, followed by RR, then FCFS.</t>
  </si>
  <si>
    <t>Consider the three scheduling algorithms, FCFS, RR, and SJF. For long jobs, rank the three algorithms in the increasing order of average response ratio. Briefly explain the reasons.</t>
  </si>
  <si>
    <t>FCFS, RR, SJF</t>
  </si>
  <si>
    <t>FCFS can begin them as soon as they arrive, avoiding starvation. RR allows fairness but interleaves execution. SJF starves long jobs for shorter ones, making their response ratio highest.</t>
  </si>
  <si>
    <t>Define non-linear data structure and provide an example.</t>
  </si>
  <si>
    <t>A non-linear data structure is one in which data elements are not arranged in a sequential or linear manner; instead, elements are organized hierarchically or in a network where each element can connect to multiple others. Examples include trees (e.g., binary trees) and graphs.</t>
  </si>
  <si>
    <t>A non-linear data structure organizes elements hierarchically or in networks, allowing multiple connections per element, unlike linear sequences. Trees, such as binary trees, exemplify this with parent-child relationships.</t>
  </si>
  <si>
    <t>What is a linear data structure? Provide an example.</t>
  </si>
  <si>
    <t>A linear data structure is a type of data structure where elements are arranged in a sequential order, with each element connected to its previous and next element (except the first and last). Examples include arrays, linked lists, stacks, and queues.</t>
  </si>
  <si>
    <t>A linear data structure arranges elements sequentially, each connected to its predecessor and successor, enabling straightforward traversal. An array exemplifies this by storing items in contiguous memory with index-based order.</t>
  </si>
  <si>
    <t>Evaluate whether the array [10, 5, 20, -, -, 9, 25] forms a valid binary search tree.</t>
  </si>
  <si>
    <t>F</t>
  </si>
  <si>
    <t>The array violates BST rules because 9 in the right subtree is less than the root 10.</t>
  </si>
  <si>
    <t>Program P processes 500 student scores, each an integer from 0 to 100. It calculates and outputs how frequently each score above 50 occurs. What is the optimal approach for P to store these frequency counts?  
A. An array of 50 numbers  
B. An array of 100 numbers  
C. An array of 500 numbers  
D. A dynamically allocated array of 550 numbers</t>
  </si>
  <si>
    <t>The program counts only scores 51–100, which is 50 possible values, so an array of size 50 is optimal.</t>
  </si>
  <si>
    <t>Let A[1...n] be an array of n distinct numbers. If i &lt; j and A[i] &gt; A[j], then the pair (i, j) is called an inversion of A. What is the expected number of inversions in any permutation on n elements ?
A. n(n-1)/2
B. n(n-1)/4
C. n(n+1)/4
D. 2n[logn]</t>
  </si>
  <si>
    <t>In a random permutation, there are \( \frac{n(n-1)}{2} \) pairs \( (i, j) \) with \( i &lt; j \), and each pair has a \( \frac{1}{2} \) probability of being an inversion, so the expected number is \( \frac{n(n-1)}{4} \).</t>
  </si>
  <si>
    <t>Given an array with both negative and positive numbers, what is the worst-case time complexity of an algorithm that segregates the numbers by sign, grouping all positive numbers on one side and all negative numbers on the other? 
A. O(N) 
B. O(N Log N) 
C. O(N * N) 
D. O(N Log (Log N))</t>
  </si>
  <si>
    <t>The algorithm uses a two-pointer approach that visits each element at most once, requiring only a single pass through the array, which results in a linear O(N) worst-case time complexity.</t>
  </si>
  <si>
    <t>An algorithm performs √(log N) find operations, N insert operations, √(log N) , delete operations, and √(log N) decrease-key operations on a set of data items with keys drawn from a linearly ordered set. For a delete operation, a pointer is provided to the record that must be deleted. For the decrease-key operation, a pointer is provided to the record that has its key decreased. To attain the optimal overall asymptotic complexity across all operations, which of these data structures is most appropriate?
A. Unsorted array
B. Min-heap
C. Sorted array
D. Sorted doubly linked list</t>
  </si>
  <si>
    <t>The unsorted array is optimal because it supports O(1) insert operations, which dominate the workload, while other structures have slower inserts.</t>
  </si>
  <si>
    <t>In a doubly linked list, the number of pointers affected for an insertion operation will be
A. 5
B. 0
C. 1
D. None of these</t>
  </si>
  <si>
    <t>The number of pointers updated depends on the insertion position and whether head/tail pointers are considered, so it is not a fixed value like 5, 0, or 1.</t>
  </si>
  <si>
    <t>Consider an implementation of unsorted single linked list. Suppose it has its representation with a head and a tail pointer (i.e. pointers to the first and last nodes of the linked list). Given the representation, which of the following operation can not be implemented in O(1) time ?
A. Insertion at the front of the linked list.
B. Insertion at the end of the linked list.
C. Deletion of the front node of the linked list.
D. Deletion of the last node of the linked list.</t>
  </si>
  <si>
    <t>Deleting the last node in a singly linked list with head and tail pointers requires traversing from the head to find the second-to-last node to update its next pointer, which takes O(n) time.</t>
  </si>
  <si>
    <t>In a singly linked list with pointers F and L referencing the first and last nodes, which of these operations has a time cost that varies with the list's length?
A. Delete the first element of the list
B. Interchange the first two elements of the list
C. Delete the last element of the list
D. Add an element at the end of the list</t>
  </si>
  <si>
    <t>Deleting the last element in a singly linked list requires traversing from the head to find the second-to-last node to update its pointer, which takes O(n) time proportional to the list's length.</t>
  </si>
  <si>
    <t>Which of the following operations is performed more efficiently by doubly linked list than by linear linked list?
A. Deleting a node whose location is given
B. Searching an unsorted list for a given item
C. Inserting a node after the node with a given location
D. Traversing the list to process each node</t>
  </si>
  <si>
    <t>A doubly linked list enables O(1) deletion of a node given a direct pointer to it by using the previous pointer to update links, while a singly linked list requires O(n) time to find the predecessor.</t>
  </si>
  <si>
    <t>Consider a singly linked list with n nodes, where n &gt; 8. What is the time complexity of finding the 8th element from the beginning and the 8th element from the end?
A. O(1) and O(n)
B. O(1) and O(1)
C. O(n) and O(1)
D. O(n) and O(n)</t>
  </si>
  <si>
    <t>Finding the 8th from the start is O(1) as it requires a constant 7-step traversal. Finding the 8th from the end is O(n) because any method must traverse the list to determine its length or relative position.</t>
  </si>
  <si>
    <t>Suppose you have a pointer to a node X in a singly linked list, without access to the head pointer. Is it possible to delete node X from the list?
A. Possible if X is not last node. Use following two steps (1) Copy the data of next of X to X. (2)Update the pointer of node X to the node after the next node and delete next of X.
B. Possible if size of linked list is even.
C. Possible if size of linked list is odd
D. Possible if X is not first node. Use following two steps (1) Copy the data of next of X to X. (2) Delete next of X.</t>
  </si>
  <si>
    <t>Without head access, direct deletion is impossible, but if X is not the last node, we can copy data from the next node into X, update X’s pointer to skip that next node, and delete it, effectively removing X’s original data.</t>
  </si>
  <si>
    <t>Given a small circular linked list, what is an effective method to detect cycles in this list?
A. Keep one node as head and traverse another temp node till the end to check if its ‘next points to head
B. Have fast and slow pointers with the fast pointer advancing two nodes at a time and slow pointer advancing by one node at a time
C. Cannot determine, you have to pre-define if the list contains cycles
D. Circular linked list itself represents a cycle. So no new cycles cannot be generated</t>
  </si>
  <si>
    <t>A circular linked list inherently contains a cycle, but the question asks for an effective general detection method. Floyd’s algorithm uses fast and slow pointers; they meet if a cycle exists, providing O(n) time and O(1) space efficiency.</t>
  </si>
  <si>
    <t>The five items: A, B, C, D, and E are pushed in a stack, one after other starting from A. The stack is popped four items and each element is inserted in a queue. The two elements are deleted from the queue and pushed back on the stack. Now one item is popped from the stack. The popped item is
A. A
B. B
C. C
D. D</t>
  </si>
  <si>
    <t>After pushing A–E, the stack is popped four times, moving B–E to a queue in order B, C, D, E. Deleting two from the queue removes B and C, then pushing the remaining D and E back onto stack A places D on top, so popping yields D.</t>
  </si>
  <si>
    <t>Stack A initially contains a, b, c in that order with a at the top, while stack B is empty. Popping an element from stack A allows it to be either printed immediately or pushed onto stack B. Popping an element from stack B results in printing it. Which of the following permutations of a, b, c cannot be generated as the output sequence?
A. b a c
B. b c a
C. c a b
D. a b c</t>
  </si>
  <si>
    <t>The sequence c a b cannot be generated because after printing c first, the elements a and b are trapped in stack B in the order b (top) then a (bottom), making it impossible to print a before b.</t>
  </si>
  <si>
    <t>Consider the following operations performed on a stack of size 5 : Push (a); Pop() ; Push(b); Push(c); Pop(); Push(d); Pop();Pop(); Push (e) Which of the following statements is correct?
A. Underflow occurs
B. Stack operations are performed smoothly
C. Overflow occurs
D. None of the above</t>
  </si>
  <si>
    <t>Simulating the operations step-by-step, the stack size never exceeds two elements, which is within its capacity of five, so overflow does not occur. Every pop is performed on a non-empty stack, so underflow does not occur. Therefore, all operations complete smoothly.</t>
  </si>
  <si>
    <t>The elements A, B, C, D, E, F, and G are pushed onto a stack beginning with G (i.e., G is pushed first, then F, and so on until A is pushed last). After all seven are pushed, the stack is popped five times, and each popped element is inserted into a queue. Then, two elements are deleted from the queue and pushed back onto the stack. Finally, one element is popped from the stack. The popped item is ________.</t>
  </si>
  <si>
    <t>After pushing G through A onto the stack, popping five times moves A, B, C, D, E to the queue in that order. Dequeuing A and B and pushing them back makes B the new top of the stack, so popping yields B.</t>
  </si>
  <si>
    <t>A function f defined on stacks of integers satisfies the following properties. f(∅) = 0 and f (push (S, i)) = max (f(S), 0) + i for all stacks S and integers i.
If a stack S contains the integers 2, -3, 2, -1, 2 in order from bottom to top, what is f(S)?
A. 6
B. 4
C. 3
D. 2</t>
  </si>
  <si>
    <t>The function processes elements from top to bottom, applying the recurrence: starting from 0, each new element i is added to max(current f, 0). The sequence yields 2, 1, 3, 0, and finally 2.</t>
  </si>
  <si>
    <t>Consider a stack S with capacity n, where n ≥ 1. Beginning with an empty stack, we perform n push operations, inserting the natural numbers 1 through n in order, followed by n pop operations. Each push and pop operation requires X seconds to complete. Between the end of one operation and the start of the next, there is a delay of Y seconds. For an element m (1 ≤ m ≤ n), its stack-life is defined as the time from the completion of its push operation to the beginning of the pop operation that removes it from S. What is the average stack-life across all elements?
A. n(X + Y)  
B. 3Y + 2X  
C. n(X + Y) - X  
D. Y + 2X</t>
  </si>
  <si>
    <t>The average stack-life is derived by summing the individual stack-lives, which form an arithmetic sequence, and dividing by n, resulting in n(X + Y) - X.</t>
  </si>
  <si>
    <t>A is false because stacks support LIFO, not FIFO. B is false because linked lists are not more efficient for all list operations. C is true because circular arrays avoid wasted space and re-indexing. D is false because queues support FIFO, not LIFO.</t>
  </si>
  <si>
    <t>Which of the following option statement is false?
A. If the queue is implemented with a linked list, keeping track of a front pointer, Only rear pointer s will change during an insertion into an non-empty queue.
B. Queue data structure can be used to implement least recently used (LRU) page fault algorithm and Quick short algorithm.
C. Queue data structure can be used to implement Quick short algorithm but not least recently used (LRU) page fault algorithm.
D. Both (A) and (C)</t>
  </si>
  <si>
    <t>Option C is false because queues can implement the LRU algorithm via a queue of page frames, but Quick Sort typically uses recursion or a stack, not a queue, for its divide-and-conquer process.</t>
  </si>
  <si>
    <t>Which one of the following is an application of Queue Data Structure?
A. When a resource is shared among multiple consumers.
B. When data is transferred asynchronously (data not necessarily received at same rate as sent) between two processes
C. Load Balancing
D. All of the above</t>
  </si>
  <si>
    <t>A queue's FIFO principle is essential for managing shared resources fairly, buffering asynchronous data transfers to handle rate mismatches, and organizing tasks in load balancers for even distribution, making all three scenarios key applications.</t>
  </si>
  <si>
    <t>Consider a stack that, besides the standard PUSH and POP operations, includes a REVERSE operation to invert the order of elements on the stack. Which one of the following statements is TRUE with respect to this modified stack?
A. A queue cannot be implemented using this stack.
B. A queue can be implemented where ENQUEUE takes a single instruction and DEQUEUE takes a sequence of two instructions.
C. A queue can be implemented where ENQUEUE takes a sequence of three instructions and DEQUEUE takes a single instruction.
D. A queue can be implemented where both ENQUEUE and DEQUEUE take a single instruction each.</t>
  </si>
  <si>
    <t>A queue can be implemented where ENQUEUE takes three operations (REVERSE, PUSH, REVERSE) to add an item to the bottom, while DEQUEUE is a single POP from the top.</t>
  </si>
  <si>
    <t>Which of the following hash functions is NOT recommended for use?
A. h(k) = k % m
B. h(k) = floor(m * (k mod 1))
C. h(k) = k
D. h(k) = ((k / m) + k * m) + k % m</t>
  </si>
  <si>
    <t>Option A is not recommended because using modulo alone causes clustering, where similar keys produce similar hash values, increasing collisions. The other options use more complex functions that distribute keys more uniformly.</t>
  </si>
  <si>
    <t>Consider a hash table of size seven, with starting index zero, and a hash function (7x+3) mod 4. Assuming the hash table is initially empty, which of the following is the contents of the table when the sequence 1, 3, 8, 10 is inserted into the table using closed hashing ? Here “__” denotes an empty location in the table.
A. 3, 10, 1, 8, __ , __ , __
B. 1, 3, 8, 10, __ , __ , __
C. 1, __ , 3, __ , 8, __ , 10
D. 3, 10, __ , __ , 8, __ , __</t>
  </si>
  <si>
    <t>The hash function yields indices 2, 0, 3, and 1 for keys 1, 3, 8, and 10 respectively, placing them in order 3, 10, 1, 8 with the remaining slots empty.</t>
  </si>
  <si>
    <t>Given a hash table T with 25 slots that stores 2000 elements, the load factor α for T is __________</t>
  </si>
  <si>
    <t>The load factor α is the ratio of stored elements to available slots, calculated as 2000 divided by 25, which equals 80.</t>
  </si>
  <si>
    <t>In a double hashing scheme with a table size of 23, the primary hash function is h1(k) = k mod 23 and the secondary hash function is h2(k) = 1 + (k mod 19). Starting the probe sequence at probe 0, the address returned by probe 1 for the key k = 90 is ________ .</t>
  </si>
  <si>
    <t>For key 90, h1 = 21 and h2 = 15. Probe 1 address is (21 + 1*15) mod 23 = 36 mod 23 = 13.</t>
  </si>
  <si>
    <t>A hash function h defined h(key)=key mod 7, with linear probing, is used to insert the keys 44, 45, 79, 55, 91, 18, 63 into a table indexed from 0 to 6. What will be the location of key 18?
A. 3
B. 4
C. 5
D. 6</t>
  </si>
  <si>
    <t>Key 18 hashes to index 4, but that slot is occupied by 79 due to earlier linear probing, so linear probing moves it to the next available slot, index 5.</t>
  </si>
  <si>
    <t>A hash table with 10 buckets with one slot per bucket is depicted here. The symbols, S1 to S7 are initially entered using a hashing function with linear probing. The maximum number of comparisons needed in searching an item that is not present is
A. 4
B. 5
C. 6
D. 3</t>
  </si>
  <si>
    <t>To find the maximum comparisons for an unsuccessful search, we must consider all starting points. The longest probe sequence occurs when starting at index 8, requiring checks at indices 8, 9, 0, 1, and 2, totaling five comparisons.</t>
  </si>
  <si>
    <t>Consider a 13 element hash table for which f(key)=key mod 13 is used with integer keys. Assuming linear probing is used for collision resolution, at which location would the key 103 be inserted, if the keys 661, 182, 24 and 103 are inserted in that order?
A. 0
B. 1
C. 11
D. 12</t>
  </si>
  <si>
    <t>The key 103 hashes to index 12, but that slot is occupied by 24 due to prior linear probing from a collision at index 11. Using linear probing, the next available slot is index 0, which is occupied, then index 1, which is free, so 103 is inserted at location 1.</t>
  </si>
  <si>
    <t>Consider a hash function that distributes keys uniformly. The hash table size is 20. After hashing of how many keys will the probability that any new key hashed collides with an existing one exceed 0.5.
A. 5
B. 6
C. 7
D. 10</t>
  </si>
  <si>
    <t>After inserting \(x\) keys, the collision probability for the next key is \(x/20\). Setting \(x/20 = 0.5\) gives \(x = 10\), so the probability exceeds 0.5 after 10 keys.</t>
  </si>
  <si>
    <t>Which of the following statement(s) is TRUE?
1. A hash function takes a message of arbitrary length and generates a fixed length code.
2. A hash function takes a message of fixed length and generates a code of variable length.
3. A hash function may give the same hash value for distinct messages.
A. I only
B. II and III only
C. I and III only
D. II only</t>
  </si>
  <si>
    <t>A hash function maps arbitrary-length input to fixed-length output, making statement 1 true. Statement 3 is also true because collisions occur when distinct inputs produce the same hash value, which is inherent to fixed-length output mapping.</t>
  </si>
  <si>
    <t>Consider an array of eight integers being sorted with heapsort. After completing several heapify operations (either max-heapify or min-heapify), the array contains the values: 16, 14, 15, 10, 12, 27, 28. How many heapify operations have been executed on the root of the heap?  
A. 1  
B. 2  
C. 3 or 4  
D. 5 or 6</t>
  </si>
  <si>
    <t>In Heapsort, after building a max-heap, the largest element is moved to the end by swapping the root with the last element, then heapifying the root. The two largest values, 27 and 28, are already at the end; exactly two such root heapify operations have been performed.</t>
  </si>
  <si>
    <t xml:space="preserve">Consider the array representation of a binary min-heap containing 1023 elements. The minimum number of comparisons required to find the maximum in the heap is _________ . </t>
  </si>
  <si>
    <t>In a min-heap, the maximum element must be among the leaf nodes. With 1023 elements, there are 512 leaves. Finding the maximum among these leaves requires 511 comparisons.</t>
  </si>
  <si>
    <t>Which of the following Binary Min Heap operation has the highest time complexity?
A. Inserting an item under the assumption that the heap has capacity to accommodate one more item
B. Merging with another heap under the assumption that the heap has capacity to accommodate items of other heap
C. Deleting an item from heap
D. Decreasing value of a key</t>
  </si>
  <si>
    <t>Merging two binary heaps requires combining all elements, which takes O(n) time, while insertion, deletion, and key decrease each take O(log n) time, making merging the most complex operation.</t>
  </si>
  <si>
    <t>A, C</t>
  </si>
  <si>
    <t>A binary max-heap requires each node to be greater than or equal to its children. For array A, all nodes satisfy this: 25≥12,16; 12≥8,10; 16≥13,14. Array C also satisfies: 25≥14,16; 14≥13,10; 16≥8,12. Arrays B and D fail as 16's child 14 is greater in B and 12's child 16 is greater in D.</t>
  </si>
  <si>
    <t>List two properties that define a Max-Heap.</t>
  </si>
  <si>
    <t>1. Heap Property: For every node i (other than the root), the value of the node is less than or equal to the value of its parent. 2. Shape Property: The tree is a complete binary tree (all levels are completely filled except possibly the last level, which is filled from left to right).</t>
  </si>
  <si>
    <t>A max-heap is defined by two properties: it is a complete binary tree, and each node's value is greater than or equal to its children's values, ensuring the maximum is at the root.</t>
  </si>
  <si>
    <t>Calculate the height of a Max-Heap that stores 1000 keys.</t>
  </si>
  <si>
    <t>9 or 10</t>
  </si>
  <si>
    <t>The height is 9 if counting edges from root to leaf, as \( \lfloor \log_2 1000 \rfloor = 9 \), or 10 if counting levels with root at level 1.</t>
  </si>
  <si>
    <t>Describe two properties that are satisfied by AVL tree.</t>
  </si>
  <si>
    <t>1. Height-balance property: For every node, the heights of its left and right subtrees differ by at most 1. 2. Binary search tree property: For every node, all keys in its left subtree are smaller, and all keys in its right subtree are larger than the node's key.</t>
  </si>
  <si>
    <t>An AVL tree is a binary search tree where, for every node, the heights of its left and right subtrees differ by at most one, ensuring balanced structure and O(log n) operations.</t>
  </si>
  <si>
    <t>In database systems, what is logical data independence?</t>
  </si>
  <si>
    <t>Logical data independence is the property of a database system that allows modifications to the conceptual schema—such as adding or splitting tables, altering relationships, or normalizing structures—without requiring changes to existing external views or application programs, as long as the data needed by those views remains accessible.</t>
  </si>
  <si>
    <t>Logical data independence allows changes to the conceptual schema, like altering tables, without affecting external application views, as long as the data they need remains accessible.</t>
  </si>
  <si>
    <t>Describe the difference between logical and physical data independence.</t>
  </si>
  <si>
    <t>Logical protects against logical changes (e.g., normalization); Physical protects against storage changes (e.g., file organization, indexing).</t>
  </si>
  <si>
    <t>Logical data independence shields applications from changes in the logical schema, while physical data independence shields them from changes in the physical storage structure.</t>
  </si>
  <si>
    <t>A _______ represents the name of the relation with its attributes.</t>
  </si>
  <si>
    <t>Schema</t>
  </si>
  <si>
    <t>A relation schema defines a table's name and its column structure, distinguishing it from data instances or broader database schemas.</t>
  </si>
  <si>
    <t>Composite Key is a combination of ______ columns.</t>
  </si>
  <si>
    <t>two or more</t>
  </si>
  <si>
    <t>A composite key combines two or more columns to uniquely identify a table row when a single column is insufficient.</t>
  </si>
  <si>
    <t>Given the Student (ID, Name, GPA, DepCode) and Department (Code, Name, Location) tables, with DepCode as a foreign key to Department, write a SQL statement to find the student IDs and names for all students with a GPA of 3.5 or higher.</t>
  </si>
  <si>
    <t>SELECT ID, Name FROM Student WHERE GPA &gt;= 3.5;</t>
  </si>
  <si>
    <t>The query selects ID and Name from the Student table where GPA is at least 3.5, as all required data is in that table, making the foreign key to Department irrelevant.</t>
  </si>
  <si>
    <t>Given the Student (ID, Name, GPA, DepCode) and Department (Code, Name, Location) tables, with DepCode as a foreign key to Department, write a relational algebra expression to find the IDs of all students whose department is located in ""Building T"".</t>
  </si>
  <si>
    <t>π_ID(σ_Location="Building T"(Student ⨝_DepCode=Code Department))</t>
  </si>
  <si>
    <t>The expression joins Student and Department on DepCode=Code, selects rows where Location is "Building T", and projects the ID attribute to output the student IDs.</t>
  </si>
  <si>
    <t>Consider the following relations in a Library database:
Library (ID*, Name, Street, City);
Book (ID*, Name, Publisher, Author, Pages);
Stock (BookID*, LibraryID*, Quantity);
The primary keys are *.
BookID and LibraryID in the Stock relation are foreign keys referencing the Book and Library relations, respectively.
Write a relational algebra expression to get the IDs of books which are authored by Mark Twain and with more than 300 pages.</t>
  </si>
  <si>
    <t>π_{ID}(σ_{Author='Mark Twain' ∧ Pages&gt;300}(Book))</t>
  </si>
  <si>
    <t>The query selects books by Mark Twain with over 300 pages from the Book relation and projects their IDs, as all needed attributes are in Book, making joins unnecessary.</t>
  </si>
  <si>
    <t>Consider the following relations in a Library database:
Library (ID*, Name, Street, City);
Book (ID*, Name, Publisher, Author, Pages);
Stock (BookID*, LibraryID*, Quantity);
The primary keys are *.
BookID and LibraryID in the Stock relation are foreign keys referencing the Book and Library relations, respectively.
Write a relational algebra expression to get the IDs of libraries which do not have a quantity of more than 10 for any book in stock.</t>
  </si>
  <si>
    <t>π_{Library.ID} (Library) − π_{LibraryID} (σ_{Quantity &gt; 10} (Stock))</t>
  </si>
  <si>
    <t>The expression finds all library IDs and subtracts those with any stock quantity exceeding 10, leaving libraries where every stocked book has quantity ≤10 or no stock at all.</t>
  </si>
  <si>
    <t>Consider the following relations in a Library database:
Library (ID*, Name, Street, City);
Book (ID*, Name, Publisher, Author, Pages);
Stock (BookID*, LibraryID*, Quantity);
The primary keys are *.
BookID and LibraryID in the Stock relation are foreign keys referencing the Book and Library relations, respectively.
Write an SQL statement to get the cities which have more than 10 libraries with the book (ID = 12345) in stock.</t>
  </si>
  <si>
    <t>```sql SELECT L.City FROM Library L JOIN Stock S ON L.ID = S.LibraryID WHERE S.BookID = 12345 GROUP BY L.City HAVING COUNT(DISTINCT L.ID) &gt; 10; ```</t>
  </si>
  <si>
    <t>The SQL query joins Library and Stock tables to link cities with book availability, filters for book ID 12345, groups by city, and uses HAVING with COUNT(DISTINCT L.ID) &gt; 10 to find cities where over 10 libraries have the book in stock.</t>
  </si>
  <si>
    <t>Consider the following relations in a Library database:
Library (ID*, Name, Street, City);
Book (ID*, Name, Publisher, Author, Pages);
Stock (BookID*, LibraryID*, Quantity);
The primary keys are *.
BookID and LibraryID in the Stock relation are foreign keys referencing the Book and Library relations, respectively.
Write an SQL statement to get the names of libraries which have all books in stock.</t>
  </si>
  <si>
    <t>```sql SELECT L.Name FROM Library L WHERE NOT EXISTS ( SELECT B.ID FROM Book B WHERE NOT EXISTS ( SELECT S.BookID FROM Stock S WHERE S.BookID = B.ID AND S.LibraryID = L.ID ) ); ```</t>
  </si>
  <si>
    <t>The query uses double NOT EXISTS to find libraries with no missing books: for each library, it checks if there exists any book not in its stock, selecting the library only if no such book is found.</t>
  </si>
  <si>
    <t>Specify two advantages of using a column-oriented design in a data warehouse environment.</t>
  </si>
  <si>
    <t>Improved query performance for analytical workloads and enhanced data compression.</t>
  </si>
  <si>
    <t>Columnar storage improves analytical query performance by reading only needed columns, reducing I/O. It also enhances compression due to uniform data types, further cutting storage and I/O.</t>
  </si>
  <si>
    <t>A MapReduce job will complete even if one of the worker nodes fails.</t>
  </si>
  <si>
    <t>T</t>
  </si>
  <si>
    <t>MapReduce's fault tolerance allows the master node to reassign tasks from a failed worker to others, ensuring job completion under normal conditions.</t>
  </si>
  <si>
    <t xml:space="preserve">A MapReduce job will complete even if the master node fails. </t>
  </si>
  <si>
    <t>The master node is a single point of failure; its permanent failure stops job coordination, requiring a restart.</t>
  </si>
  <si>
    <t>Map workers send their results directly to reduce workers.</t>
  </si>
  <si>
    <t>Map workers write intermediate results to local disk, which reduce workers later pull, rather than sending directly.</t>
  </si>
  <si>
    <t>If there are M map tasks, using more than M map workers may improve MapReduce performance.</t>
  </si>
  <si>
    <t>Using more than M workers can improve performance by mitigating stragglers and failures in real-world systems.</t>
  </si>
  <si>
    <t>In the “no information” case (i.e., when a subordinate asks the coordinator about the outcome of a transaction that the coordinator has no information about), the coordinator running the presumed abort version of two-phase commit(2PC) returns the same response to a subordinate as it would in basic 2PC.</t>
  </si>
  <si>
    <t>Both versions respond “ABORT” when the coordinator lacks transaction information.</t>
  </si>
  <si>
    <t>The Presumed Commit protocol reduces the number of forced writes required by the coordinator compared to basic 2PC for transactions that successfully commit.</t>
  </si>
  <si>
    <t>The statement is false because Presumed Commit requires two forced writes for commits, while basic 2PC requires only one.</t>
  </si>
  <si>
    <t>The Presumed Abort protocol reduces the number of forced writes required of the coordinator compared to basic 2PC for transactions that abort.</t>
  </si>
  <si>
    <t>Presumed Abort reduces forced writes by allowing the coordinator to skip logging abort decisions, unlike basic 2PC which logs both commit and abort.</t>
  </si>
  <si>
    <t>In basic 2PC, assuming no failures of the coordinator or subordinate nodes,  a subordinate that votes to abort a transaction T receives no more messages pertaining to T.</t>
  </si>
  <si>
    <t>In basic 2PC, a subordinate voting abort causes a global abort, and that subordinate receives no further messages about T.</t>
  </si>
  <si>
    <t>The following SQL query aims to compute the average price per square foot for each parcel sold. For any parcel that was sold more than once, we would like to compute the average price per square foot. However, the query fails with an error. Why does this error occur?
SELECT p.parcelid, count(*), s.sprice/sum(p.sqft)
FROM parcels p, sales s
WHERE p.parcelid = s.parcelid
GROUP BY p.parcelid
ORDER BY count(*) DESC;</t>
  </si>
  <si>
    <t>The error occurs because `s.sprice` is not included in the `GROUP BY` clause or used with an aggregate function, and `sum(p.sqft)` is an aggregate function that cannot be used directly with non-aggregated columns without grouping.</t>
  </si>
  <si>
    <t>The error occurs because `s.sprice` is not included in the `GROUP BY` clause nor used with an aggregate function, violating SQL rules for grouped queries.</t>
  </si>
  <si>
    <t>The following SQL query aims to compute the average price per square foot for each parcel sold. For any parcel that was sold more than once, we would like to compute the average price per square foot. However, the query fails with an error. Correct the query to obtain the proper result.
SELECT p.parcelid, count(*), s.sprice/sum(p.sqft)
FROM parcels p, sales s
WHERE p.parcelid = s.parcelid
GROUP BY p.parcelid
ORDER BY count(*) DESC;</t>
  </si>
  <si>
    <t>SELECT p.parcelid, COUNT(*) AS sales_count, AVG(s.sprice / p.sqft) AS avg_price_per_sqft FROM parcels p JOIN sales s ON p.parcelid = s.parcelid GROUP BY p.parcelid ORDER BY COUNT(*) DESC;</t>
  </si>
  <si>
    <t>The original query incorrectly divides a single sale price by total square footage, causing an aggregation mismatch. The corrected query computes the average price per square foot for each sale per parcel using `AVG(s.sprice / p.sqft)` after joining the tables and grouping by parcel ID.</t>
  </si>
  <si>
    <t>Describe in a few sentences the main differences among one-to-one, one-to-many, and many-to-many relationships. How are many-to-many relationships typically handled when designing relational databases?</t>
  </si>
  <si>
    <t>In a one-to-one relationship, each record in one table is linked to at most one record in another; in a one-to-many relationship, a record in one table can link to multiple records in another, but not vice versa; in a many-to-many relationship, records in both tables can link to multiple records in the other. Many-to-many relationships are typically handled by creating a junction table (associative entity) that contains foreign keys referencing both original tables, thereby breaking the relationship into two one-to-many relationships.</t>
  </si>
  <si>
    <t>One-to-one links single records; one-to-many links one record to many; many-to-many links both ways. To handle many-to-many, create a junction table with foreign keys, breaking it into two one-to-many relationships.</t>
  </si>
  <si>
    <t>Can alpha-beta be generalized to do a breadth-first exploration of the game tree and still get the optimal answer? Explain how or why not. If it can be generalized, indicate any advantages or disadvantages of using breadth-first search in this application.</t>
  </si>
  <si>
    <t>No, alpha-beta pruning cannot be effectively generalized to a pure breadth-first exploration while preserving optimality and efficiency.</t>
  </si>
  <si>
    <t>Alpha-beta pruning requires depth-first traversal to propagate bounds and prune branches early; breadth-first search cannot establish meaningful bounds until deep exploration, losing pruning efficiency and reverting to brute-force complexity.</t>
  </si>
  <si>
    <t>Can alpha-beta be generalized to do a progressive-deepening exploration of the game tree and still get the optimal answer? Explain how or why not. If it can be generalized, indicate any advantages or disadvantages of using progressive-deepening search in this application.</t>
  </si>
  <si>
    <t>Yes, alpha-beta pruning can be generalized to work with progressive deepening.</t>
  </si>
  <si>
    <t>Yes, alpha-beta pruning can be integrated with progressive deepening, performing a series of fixed-depth searches. This allows for anytime decision-making and improves pruning efficiency through better move ordering from earlier iterations, though it introduces some computational overhead.</t>
  </si>
  <si>
    <t>Consider a path search problem characterized by an exceptionally high branching factor, where solutions are known to be comprised of a relatively short action sequence (the precise length is not given). Every action carries the same cost. Which search algorithm is appropriate for discovering the optimal solution? Explain under what circumstances, if any, employing a visited or expanded list would be beneficial.</t>
  </si>
  <si>
    <t>Breadth-first search (BFS) or iterative deepening search (IDS), with IDS often preferred in practice. A visited/expanded list is beneficial if the state space is not a tree (i.e., contains cycles or duplicate states) and memory constraints allow it.</t>
  </si>
  <si>
    <t>BFS or IDS are optimal for uniform-cost short solutions; IDS saves memory with high branching. A visited list helps avoid cycles in graph spaces if memory permits.</t>
  </si>
  <si>
    <t>In a classification task with approximately 1 million training examples in a 6-dimensional feature space and only 100 test instances, which learning algorithm is most appropriate, and justify your selection.</t>
  </si>
  <si>
    <t>Linear SVM with stochastic gradient descent (SGD) or a scalable linear model (e.g., logistic regression with SGD).</t>
  </si>
  <si>
    <t>A linear model with SGD efficiently scales to 1 million training examples in 6 dimensions, avoiding the computational cost of non-linear methods while generalizing well on this low-dimensional data.</t>
  </si>
  <si>
    <t>For each of the learning situations below, say what learning algorithm would be best to use, and why. You are going to develop a classifier to recommend which children should be assigned to special education classes in kindergarten. The classifier has to be justified to the board of education before it is implemented.</t>
  </si>
  <si>
    <t>A decision tree algorithm (like CART or ID3) would be best.</t>
  </si>
  <si>
    <t>A decision tree is best because it provides clear, interpretable rules that can be justified to the board, handles mixed data types, and allows for auditing to ensure fairness in this high-stakes context.</t>
  </si>
  <si>
    <t>Given the following learning scenario, specify which algorithm is most appropriate and explain your reasoning. You are employed by a large e-commerce company aiming to dominate retail. Your task is to predict a particular customer's liking for a book based on a 1-million-bit input vector representing the preferences of all other customers for that book. You will train a classifier using a massive dataset where inputs are the collective preferences for each book and outputs are the target customer's preference. The classifier must support frequent and efficient updates as new data becomes available.</t>
  </si>
  <si>
    <t>Online learning algorithm (e.g., Stochastic Gradient Descent with a linear or neural network model).</t>
  </si>
  <si>
    <t>An online algorithm like SGD efficiently updates the model incrementally with each new data point, handling the massive, high-dimensional dataset without costly full retraining.</t>
  </si>
  <si>
    <t>For each of the learning situations below, say what learning algorithm would be best to use, and why. You are trying to predict the average rainfall in California as a function of the measured currents and tides in the Pacific ocean in the previous six months.</t>
  </si>
  <si>
    <t>Linear regression or a time series forecasting model (e.g., ARIMA, LSTM) would be best.</t>
  </si>
  <si>
    <t>Predicting continuous rainfall from past ocean data is a regression task with temporal dependencies, making linear regression suitable for linear relationships or time series models like ARIMA/LSTM for capturing sequential patterns.</t>
  </si>
  <si>
    <t>Which of the following statements is TRUE regarding training, validation, and test sets in machine learning?
A. The training set is used to evaluate the final performance of the model.
B. The validation set is used to tune hyperparameters and prevent overfitting.
C. The test set is used to adjust the model’s weights during training.
D. The validation set and test set are always the same data.
E. The training set should be smaller than the test set to ensure accurate evaluation.</t>
  </si>
  <si>
    <t>The validation set is used for hyperparameter tuning and to detect overfitting. The training set fits model parameters, the test set evaluates final performance, and these sets are distinct with training usually being largest.</t>
  </si>
  <si>
    <t>Which of the following statements correctly describes a key difference between L1 and L2 regularization in machine learning models?
A. L1 regularization tends to produce sparse models by driving some weights exactly to zero, while L2 regularization tends to shrink weights but rarely makes them exactly zero.
B. L2 regularization is more effective for feature selection than L1 regularization.
C. L1 regularization penalizes the square of the weights, while L2 regularization penalizes the absolute value of the weights.
D. Both L1 and L2 regularization always result in identical model coefficients.
E. L1 regularization is only applicable to linear regression, while L2 regularization is only applicable to logistic regression.</t>
  </si>
  <si>
    <t>L1 regularization drives some weights to zero for sparsity, aiding feature selection, while L2 shrinks weights smoothly without typically reaching zero.</t>
  </si>
  <si>
    <t>Which of the following statements about bagging and boosting is true?
A. Bagging invariably decreases bias.
B. Boosting consistently lowers bias.
C. Both bagging and boosting reduce variance.
D. Both A and C are accurate.
E. Both B and C are correct.</t>
  </si>
  <si>
    <t>E</t>
  </si>
  <si>
    <t>Boosting reduces bias by correcting errors sequentially, while both methods reduce variance through ensemble averaging, making B and C true.</t>
  </si>
  <si>
    <t>____________ attempts to mimic the way the brain works and learns with multiple nodes between the input and the output with the program building connections between those nodes.</t>
  </si>
  <si>
    <t>Neural networks</t>
  </si>
  <si>
    <t>Neural networks simulate brain learning by using interconnected nodes between input and output, adjusting connection strengths through training to recognize patterns.</t>
  </si>
  <si>
    <t>Stemming reduces words to their root form, a foundational preprocessing step that simplifies language data for machines to acquire and understand it, unlike higher-level analyses like text analytics or sentiment analysis.</t>
  </si>
  <si>
    <t>______________ is the process of pulling meaningful data from images and video to accomplish a given task.</t>
  </si>
  <si>
    <t>Computer vision</t>
  </si>
  <si>
    <t>Computer vision is the AI field where computers interpret images and videos to extract meaningful data, enabling tasks like object recognition or autonomous navigation.</t>
  </si>
  <si>
    <t>______________ is a hierarchical clustering technique in which each data point starts as an individual cluster, and clusters are iteratively merged based on distance until only one cluster remains.</t>
  </si>
  <si>
    <t>Agglomerative clustering</t>
  </si>
  <si>
    <t>Agglomerative clustering is a bottom-up hierarchical method where each point starts as its own cluster, and the closest clusters are repeatedly merged until only one remains.</t>
  </si>
  <si>
    <t>Points located at the boundary in density-based clustering are referred to as ______________.</t>
  </si>
  <si>
    <t>border points</t>
  </si>
  <si>
    <t>In density-based clustering, points on cluster edges are called border points because they lie within the epsilon radius of a core point but lack enough neighbors to be core themselves.</t>
  </si>
  <si>
    <t>Identify the incorrect statement about Narrow Intelligence from the list below:
A. Narrow Intelligence is the only type of AI to exist currently.
B. “Personal assistants” like Siri and Cortana use Narrow Intelligence.
C. Narrow Intelligence machines are not self-aware, but self-preserving.
D. Narrow Intelligence programs are the spam filters on your email inbox, facial recognition software, recommendations brought to you by Amazon, Netflix, Google Ads, etc.
E. Narrow Intelligence is built for specific functions, executing precisely as programmed without variation, except when reprogrammed or updated.</t>
  </si>
  <si>
    <t>Narrow AI lacks self-awareness and self-preservation, which are traits of theoretical general AI, making statement C incorrect.</t>
  </si>
  <si>
    <t>_____________ which is the automated process of understanding and classifying unstructured text.</t>
  </si>
  <si>
    <t>Natural Language Processing (NLP)</t>
  </si>
  <si>
    <t>Natural Language Processing (NLP) is the field that uses computational methods to automatically interpret and categorize unstructured text, such as through classification or sentiment analysis.</t>
  </si>
  <si>
    <t>_______________ is the analysis and classification of text that reveals subjective information like emotion and opinion about specific topics.</t>
  </si>
  <si>
    <t>Sentiment Analysis</t>
  </si>
  <si>
    <t>Sentiment analysis is the NLP task that classifies text to identify subjective emotions and opinions, distinguishing it from objective text analysis methods.</t>
  </si>
  <si>
    <t>A, B, C, E</t>
  </si>
  <si>
    <t>A, B, C, and E reduce bias by establishing transparent guidelines, testing models pre-deployment, planning for representative data, and identifying bias sources. D increases bias by hiding the process from external review.</t>
  </si>
  <si>
    <t>Which of the following terms describes a computer system designed to learn like a human at an accelerated pace, capable of processing both pre-programmed information and new data by independently interpreting it, making decisions, and taking action accordingly?
A. Deep Learning
B. AI
C. Cognitive Computing
D. LLM</t>
  </si>
  <si>
    <t>Cognitive computing specifically describes systems that learn like humans by processing both pre-programmed and new data, interpreting it independently to make decisions, which aligns with the given definition.</t>
  </si>
  <si>
    <t>Explain the differences between discriminative Al and generative Al using examples?</t>
  </si>
  <si>
    <t>Discriminative AI models classify or predict labels from data (e.g., spam detection), while generative AI models create new data similar to training data (e.g., text or image generation).</t>
  </si>
  <si>
    <t>Discriminative AI classifies existing data (e.g., spam filters), while generative AI creates new data (e.g., text generation). Discriminative models learn decision boundaries, whereas generative models learn data distributions to produce novel outputs.</t>
  </si>
  <si>
    <t>Explain the differences between classification and the clustering using examples?</t>
  </si>
  <si>
    <t>Classification is a supervised learning method that assigns predefined labels to data points, while clustering is an unsupervised learning method that groups data points based on inherent similarities without predefined labels.</t>
  </si>
  <si>
    <t>Classification uses labeled data to assign predefined categories, like spam detection, while clustering groups unlabeled data by similarity, such as customer segmentation, without prior labels.</t>
  </si>
  <si>
    <t>Explain the differences between most constrained variable and least constraining value in constraint satisfaction problem using examples?</t>
  </si>
  <si>
    <t>Most constrained variable (MCV) prioritizes selecting the variable with the fewest remaining legal values to reduce branching, while least constraining value (LCV) chooses the value that leaves the maximum flexibility for future assignments after assignment.</t>
  </si>
  <si>
    <t>Most constrained variable (MCV) selects the variable with the fewest legal values to reduce branching, while least constraining value (LCV) chooses the value that imposes the fewest constraints on other variables to preserve future options.</t>
  </si>
  <si>
    <t>Compare the distinctions between forward chaining and backward chaining, and provide examples to illustrate each approach.</t>
  </si>
  <si>
    <t>Forward chaining is a data-driven inference method that starts with known facts and applies rules to derive new facts until a goal is reached, while backward chaining is a goal-driven method that starts with a hypothesis and works backward through rules to find supporting facts.</t>
  </si>
  <si>
    <t>Forward chaining starts with known facts and applies rules to reach a goal, while backward chaining begins with a goal and works backward to find supporting facts.</t>
  </si>
  <si>
    <t>What are the usual steps to evaluate a supervised learning model, and what are two evaluation metrics commonly employed for regression tasks?</t>
  </si>
  <si>
    <t>The usual steps to evaluate a supervised learning model involve splitting the data into training and test sets, training the model on the training set, making predictions on the test set, and then computing evaluation metrics. Two common evaluation metrics for regression tasks are Mean Absolute Error (MAE) and Root Mean Squared Error (RMSE).</t>
  </si>
  <si>
    <t>To evaluate a supervised learning model, split data into training and test sets, train the model, make predictions, and compute metrics. For regression, common metrics are Mean Absolute Error (MAE) and Root Mean Squared Error (RMSE), which measure average prediction errors.</t>
  </si>
  <si>
    <t>Explain the conceptual similarities and differences between bagging and boosting, detailing at least two essential points for each.</t>
  </si>
  <si>
    <t>Bagging and boosting are both ensemble methods that combine multiple base models to improve predictive performance, but they differ fundamentally in how they construct and weight those models. Similarities: 1. Both use multiple weak learners (e.g., decision trees) to create a stronger ensemble model. 2. Both aim to reduce variance and/or bias compared to a single model, though their primary targets differ. Differences: 1. Training approach: Bagging trains models independently on random subsets of data (with replacement), while boosting trains models sequentially, each focusing on errors of the previous model. 2. Model weighting: Bagging typically gives equal weight to all models (e.g., averaging), whereas boosting assigns higher weight to better-performing models in the sequence.</t>
  </si>
  <si>
    <t>Both combine multiple weak learners to improve predictions. Bagging trains models independently on random data subsets, averaging results to reduce variance. Boosting trains sequentially, weighting models to correct errors and reduce bias.</t>
  </si>
  <si>
    <t>For the two supervised learning models, i.e., multilayer perceptron (MLP) and k-nearest neighbor (kNN), comment on their ability to handle datasets with noise. State how each of them can be controlled to suppress the effect of noisy data.</t>
  </si>
  <si>
    <t>MLP can suppress noise through regularization and architectural choices, while kNN can mitigate noise via distance weighting and increasing k, though both have inherent trade-offs.</t>
  </si>
  <si>
    <t>MLP suppresses noise via regularization and architectural constraints, smoothing learned functions. kNN mitigates noise by increasing k and using distance weighting, averaging over neighbors to dilute local noise, with both methods involving bias-variance trade-offs.</t>
  </si>
  <si>
    <t>What are the major differences between convolutional neural network model and autoencoder model? State one application example for each of these two models.</t>
  </si>
  <si>
    <t>Convolutional Neural Networks (CNNs) are primarily designed for supervised tasks like image classification, using convolutional layers to extract spatial features, while autoencoders are unsupervised models focused on learning efficient data encodings, typically for tasks like dimensionality reduction or denoising. Example applications: CNN – image recognition (e.g., facial recognition in photos); Autoencoder – anomaly detection in network security (e.g., identifying unusual patterns in data traffic).</t>
  </si>
  <si>
    <t>CNNs are supervised models for tasks like image classification, using convolutional layers to extract spatial features. Autoencoders are unsupervised, learning compressed data representations for applications like anomaly detection.</t>
  </si>
  <si>
    <t>The agglomerative hierarchical clustering and k-nearest neighbor method are popular models for unsupervised learning and supervised learning respectively. Think how they can be combined to achieve better performance, in terms of either accuracy or efficiency, in supervised learning tasks.</t>
  </si>
  <si>
    <t>Combine agglomerative hierarchical clustering with k-nearest neighbor by using clustering to preprocess data—either to create prototypes, reduce noise, or structure the search space—thereby improving KNN’s accuracy, efficiency, or both.</t>
  </si>
  <si>
    <t>Combine agglomerative clustering with KNN by using clustering to preprocess data—creating prototypes, filtering noise, or structuring search—which reduces computational cost and can improve classification accuracy in supervised tasks.</t>
  </si>
  <si>
    <t>Outline the differences between supervised, unsupervised, and reinforcement learning regarding their training data requirements. For each of these three machine learning categories, specify one traditional algorithm or model and one deep learning algorithm or model.</t>
  </si>
  <si>
    <t>Supervised learning requires labeled input-output pairs; unsupervised learning uses unlabeled data; reinforcement learning relies on an agent interacting with an environment and receiving reward signals. Traditional algorithms: - Supervised: Decision Tree - Unsupervised: K-Means Clustering - Reinforcement: Q-Learning Deep learning algorithms: - Supervised: Convolutional Neural Network (CNN) - Unsupervised: Autoencoder - Reinforcement: Deep Q-Network (DQN)</t>
  </si>
  <si>
    <t>Supervised learning uses labeled data, unsupervised uses unlabeled data, and reinforcement learning uses agent-environment interactions. Traditional examples are Decision Tree, K-Means, and Q-Learning; deep learning examples are CNN, Autoencoder, and DQN.</t>
  </si>
  <si>
    <t>From the perspective of output results, comment on the differences between supervised learning, unsupervised learning, and reinforcement learning.</t>
  </si>
  <si>
    <t>Supervised learning outputs predictions for known labels/values, unsupervised learning outputs discovered patterns or groupings without predefined labels, and reinforcement learning outputs action policies that maximize cumulative reward through interaction.</t>
  </si>
  <si>
    <t>Supervised learning predicts known labels, unsupervised learning discovers patterns without labels, and reinforcement learning learns action policies to maximize reward through interaction.</t>
  </si>
  <si>
    <t>Regarding regression trees, which of the following statements is incorrect?
A. It can be used for a dataset of 1 million records, each with a distinct regression value.
B. It may generate an undetermined regression value for an unseen data.
C. It can also be pruned to achieve better regression for unseen data.
D. None of the above</t>
  </si>
  <si>
    <t>Regression trees always assign a determined value (leaf-node average) to any input, making statement B false. Statements A and C are true regarding scalability and pruning, respectively.</t>
  </si>
  <si>
    <t>Briefly describe the use of autoencoder in a supervised learning task and an unsupervised learning task.</t>
  </si>
  <si>
    <t>In supervised learning, autoencoders are used for dimensionality reduction or feature extraction before classification/regression; in unsupervised learning, they are used for representation learning, anomaly detection, or data generation without labels.</t>
  </si>
  <si>
    <t>Autoencoders reduce data dimensions for supervised tasks like classification, and in unsupervised settings, they learn representations for anomaly detection or data generation without labels.</t>
  </si>
  <si>
    <t>What are the advantages of Breadth First Search?</t>
  </si>
  <si>
    <t>BFS will not get trapped exploring a blind alley. This contrasts to the DFS which may follow a single unfruitful path for a very long time, perhaps forever before the path actually terminates in a state that has no successors. If there is a solution, then BFS is guaranteed to find it. Furthermore, if there are multiple solutions then a minimal solution will be found.</t>
  </si>
  <si>
    <t>BFS guarantees finding a solution if one exists and yields the shortest path by exploring all nodes level by level, avoiding the risk of infinite exploration in blind alleys.</t>
  </si>
  <si>
    <t>Explain briefly how dropout improves generalization in deep neural networks and discuss its suitability for use in autoencoders.</t>
  </si>
  <si>
    <t>Dropout improves generalization by preventing co-adaptation of neurons during training, making the network more robust; it is suitable for autoencoders primarily in the encoder to prevent overfitting, but less so in the decoder where reconstruction fidelity is critical.</t>
  </si>
  <si>
    <t>Dropout improves generalization by randomly deactivating neurons during training, reducing co-adaptation and overfitting. For autoencoders, it is suitable in the encoder to regularize features but often avoided in the decoder to preserve reconstruction accuracy.</t>
  </si>
  <si>
    <t>Describe briefly how data augmentation enhances the generalization of layered neural networks. Is data augmentation applicable to non-image data like text? If yes, provide an example of how to implement data augmentation for text data.</t>
  </si>
  <si>
    <t>Data augmentation improves generalization by artificially expanding the training dataset through label-preserving transformations, which reduces overfitting and encourages the model to learn more robust features. It works for non-image data like text, and an example for text data is synonym replacement, where random words are replaced with their synonyms while preserving the original meaning.</t>
  </si>
  <si>
    <t>Data augmentation enhances generalization by expanding training data with label-preserving transformations, reducing overfitting. For text, synonym replacement swaps words with synonyms while preserving meaning.</t>
  </si>
  <si>
    <t>Briefly describe how bagging is related to variance of the bias-variance trade-off. How is boosting related to bias of the bias-variance trade-off. Further comment on their ability in avoiding overfitting.</t>
  </si>
  <si>
    <t>Bagging reduces variance by averaging multiple models trained on bootstrap samples, thereby stabilizing predictions and mitigating overfitting. Boosting reduces bias by sequentially correcting errors of weak learners, improving model fit, but it can increase variance and overfit if not regularized. Both ensemble methods enhance generalization, but bagging is inherently more robust to overfitting due to aggregation, while boosting requires careful tuning (e.g., early stopping, shrinkage) to balance bias reduction with variance control.</t>
  </si>
  <si>
    <t>Bagging reduces variance by averaging models from bootstrap samples, stabilizing predictions and mitigating overfitting. Boosting reduces bias by sequentially correcting errors, improving fit, but can overfit without regularization like early stopping.</t>
  </si>
  <si>
    <t>Identify the True statement about multilayer perceptrons (MLPs).
A. The training of MLP by the backpropagation algorithm can make the training loss/error increase or decrease.
B. Increasing the number of training epochs does not always lead to better generalization performance in an MLP.
C. A fixed-architecture MLP can simultaneously implement multiple regression functions, such as f1(x), f2(x), and f3(x).
D. All of the above.</t>
  </si>
  <si>
    <t>Backpropagation can temporarily increase loss, more epochs may cause overfitting, and multiple outputs allow simultaneous regression functions, making all statements true.</t>
  </si>
  <si>
    <t>Briefly discuss how regularization can be used to improve the generalization of a machine learning model.</t>
  </si>
  <si>
    <t>Regularization improves generalization by adding a penalty term to the loss function that discourages overly complex models, thereby reducing overfitting and enhancing performance on unseen data.</t>
  </si>
  <si>
    <t>Regularization adds a penalty for model complexity to the loss function, discouraging overfitting by promoting simpler models that better capture underlying patterns, thus improving performance on unseen data.</t>
  </si>
  <si>
    <t>Suggest a regularization trick without dropout to improve the generalization of an autoencoder.</t>
  </si>
  <si>
    <t>Implement a Denoising Autoencoder (DAE) by adding stochastic noise to the input data during training while requiring the model to reconstruct the original, clean input.</t>
  </si>
  <si>
    <t>A Denoising Autoencoder adds noise to the input during training, forcing the model to learn the underlying data structure to reconstruct the clean input, preventing it from simply copying the data and improving generalization.</t>
  </si>
  <si>
    <t>Which of the followings about decision tree (DT) model is true?
A. DT cannot be used for problems with more than 2 class values (e.g., true, false, and undetermined).
B. The model construction time of DT is shorter if a post-pruned tree is used.
C. DT cannot be used for problems without class attribute.
D. None of the above.</t>
  </si>
  <si>
    <t>Decision Trees are supervised learners, requiring a class attribute to calculate splits; without labels, they lack an objective function for learning.</t>
  </si>
  <si>
    <t>Which of the followings about the k-nearest neighbor (kNN) supervised learning method is true?
A. kNN (for k larger than 1) always performs better than 1NN.
B. Both 1NN and kNN can be used for regression tasks.
C. The decision surface of kNN (for k larger than 1) is more complex than 1NN.
D. None of the above.</t>
  </si>
  <si>
    <t>kNN can perform regression by averaging the k nearest neighbors' target values, which includes the 1NN case, making option B true.</t>
  </si>
  <si>
    <t>Is it possible for a Perceptron or its modifications to address classification problems that are not linearly separable?
A. Yes, if additional input features are created from the original ones, like sine functions or products of inputs.
B. No, a standard Perceptron using only the initial inputs cannot solve linearly non-separable problems.
C. No, but using multiple perceptrons and applying majority voting to their outputs can be used to solve linear non-separable problems. 
D. All of the above</t>
  </si>
  <si>
    <t>A standard perceptron cannot solve non-linearly separable problems, but modifications like adding nonlinear features or using multiple perceptrons in networks can, making all statements correct.</t>
  </si>
  <si>
    <t>Which of the followings about convolutional neural network (CNN) is true?
A. CNN cannot handle 5D or more-dimensional input data.
B. There is no learnable parameter in the pooling layers of CNN.
C. CNN must have multiple fully connected layers.
D. None of the above statements is correct.</t>
  </si>
  <si>
    <t>Pooling layers like max or average pooling perform fixed operations without trainable weights, making B true. CNNs can handle high-dimensional data and do not require fully connected layers, so A and C are false.</t>
  </si>
  <si>
    <t>Compare bagging and boosting in terms of computational efficiency in reducing bias and variance.</t>
  </si>
  <si>
    <t>Bagging is computationally more efficient than boosting due to its parallelizable nature, and it primarily reduces variance. Boosting is computationally expensive because of its sequential training process, and it primarily reduces bias, though it can also reduce variance with proper regularization.</t>
  </si>
  <si>
    <t>Bagging is computationally efficient due to parallel training and reduces variance, while boosting is computationally expensive due to sequential training and primarily reduces bias, though it can also reduce variance with regularization.</t>
  </si>
  <si>
    <t>Compare bagging and boosting in terms of effectiveness in reducing bias and variance.</t>
  </si>
  <si>
    <t>Bagging primarily reduces variance without significantly affecting bias, while boosting primarily reduces bias and can also reduce variance, though it may increase variance if overfitting occurs.</t>
  </si>
  <si>
    <t>Bagging reduces variance by averaging independent models, while boosting reduces bias by sequentially correcting errors, though overfitting can increase variance.</t>
  </si>
  <si>
    <t>Is it necessarily true that we can achieve better generalization performance (i.e., better performance for unseen data) by adding more neurons to the hidden layer of a neural network?
A. Yes
B. No
C. Yes, only if the training time is sufficiently long
D. None of the above</t>
  </si>
  <si>
    <t>Adding more neurons increases model capacity, which can improve generalization if underfitting occurs, but often leads to overfitting without sufficient data or regularization, so better generalization is not guaranteed.</t>
  </si>
  <si>
    <t>Which of the following statements about the k-nearest neighbor (k-NN) classification algorithm is TRUE?
A. k-NN requires a training phase to learn model parameters before making predictions.
B. The value of k in k-NN has no effect on the shape of the decision boundary.
C. k-NN assigns the class label to a new point based on the majority class among its k closest neighbors.
D. k-NN can only be used for regression problems, not classification.
E. None of the above.</t>
  </si>
  <si>
    <t>k-NN is a lazy learner with no explicit training phase, and the value of k directly affects the decision boundary's smoothness. It works for both classification and regression, but for classification, it assigns the class based on the majority among the k nearest neighbors, making C true.</t>
  </si>
  <si>
    <t>Which of the following is NOT a typical benefit of using CNNs for applying deep learning to images?
A. Ability to automatically learn spatial hierarchies of features.
B. Reduced number of parameters compared to fully connected networks.
C. Invariance to translation of input images.
D. Requirement for manual feature extraction.
E. Efficient processing of high-dimensional data.</t>
  </si>
  <si>
    <t>CNNs eliminate manual feature engineering by learning features directly from data, making option D a drawback, not a benefit, unlike the other listed advantages.</t>
  </si>
  <si>
    <t>In convolutional neural networks, what is the primary function of padding?
A. Padding increases the number of filters in a convolutional layer.
B. Padding reduces the computational cost of convolution operations.
C. Padding allows the output feature map to maintain the same spatial dimensions as the input.
D. Padding is used to normalize the input data before convolution.
E. Padding decreases the receptive field of neurons in deeper layers.</t>
  </si>
  <si>
    <t>Padding adds zeros around the input to preserve spatial dimensions after convolution, preventing border information loss and enabling deeper networks.</t>
  </si>
  <si>
    <t>In an unsupervised learning context with 500 features, the goal is to identify the three most important features to reduce complexity, meaning only 3 out of 500 are retained. Which option is correct?
A. This problem cannot be solved by dimensionality reduction approach.
B. Features with larger variance should be choosen.
C. Selecting only 3 features out of 500 features cannot be achieved by any dimensionality reduction methods.
D. Features with smaller variance should be choosen.
E. None of the above</t>
  </si>
  <si>
    <t>In unsupervised learning, selecting the top three features by variance is a valid dimensionality reduction method, as high-variance features capture more data variability and are more informative.</t>
  </si>
  <si>
    <t>In a load and store architecture, the only instructions that accessmemory are load and store.</t>
  </si>
  <si>
    <t>In a load/store architecture, only load and store instructions access memory; all others operate on registers.</t>
  </si>
  <si>
    <t>More powerful instructions lead to higher performance since thetotal number of instructions executed is smaller for a given task with morepowerful instructions.</t>
  </si>
  <si>
    <t>More powerful instructions may reduce instruction count but can increase CPI or cycle time, potentially lowering performance.</t>
  </si>
  <si>
    <t>MIPS has two basic data transfer instructions including lw andsw. The memory address is a 16-bit address formed by adding the contents ofthe program counter to the offset value.</t>
  </si>
  <si>
    <t>The statement is false because `lw` and `sw` use a base register plus offset for addressing, not the program counter.</t>
  </si>
  <si>
    <t>The optimization halves adder and register width by shifting operands and quotient together, utilizing unused bits.</t>
  </si>
  <si>
    <t>MIPS jump instructions feature the most straightforward addressing approach, implemented via the J-type format that allocates 6 bits to the address field and the remaining bits to the opcode field.</t>
  </si>
  <si>
    <t>False: MIPS J-type jump instructions allocate 26 bits to the address field, not 6 bits, with the opcode using only 6 bits.</t>
  </si>
  <si>
    <t>Consider the following MIPS assembly loop: 
LOOP: slt $t2, $0, $t1
beq $t2, $0, DONE
subi $t1, $t1, 1
addi $s2, $s2, 2
j LOOP
Assuming register $t1 is initialized to 10 and $s2 starts at 0, determine the final value in $s2. The expected outcome is 200.</t>
  </si>
  <si>
    <t>The loop runs 10 times, adding 2 each iteration, so $s2$ becomes 20, not 200.</t>
  </si>
  <si>
    <t>IEEE 754 even has a symbol for the result of invalid operations, such as 0/0or subtracting infinity from infinity. This symbol is NaN, for Not a Number. NaN has no usage inthe programming and only causes error and should be avoided.</t>
  </si>
  <si>
    <t>NaN is used in programming for placeholders and error handling, not just errors to avoid.</t>
  </si>
  <si>
    <t>Open addressing hashing that uses linear probing will require two hash functions.</t>
  </si>
  <si>
    <t>Linear probing uses only one hash function; collisions are resolved by checking consecutive slots.</t>
  </si>
  <si>
    <t>Suffix trees for pattern matching require preprocessing the pattern.</t>
  </si>
  <si>
    <t>Suffix trees preprocess the text, not the pattern, to enable efficient pattern matching.</t>
  </si>
  <si>
    <t>The worst-case time complexity for a range query on a quadtree with no points in the specified range is O(h).</t>
  </si>
  <si>
    <t>The worst-case complexity is O(√n), not O(h), as the query can intersect many nodes even when no points are reported.</t>
  </si>
  <si>
    <t>Every string consisting of English characters and one end-character can be decoded with inverse BWT.</t>
  </si>
  <si>
    <t>The inverse BWT can always reconstruct the original string from its BWT output, as the unique end-character ensures a one-to-one reversible mapping.</t>
  </si>
  <si>
    <t>If α = 1 for hashing with chaining, inserting a new key will always fail.</t>
  </si>
  <si>
    <t>Insertion succeeds in chaining even at α=1, as buckets can hold multiple keys via linked lists.</t>
  </si>
  <si>
    <t>Every AVL Tree is also a 2-4 Tree.</t>
  </si>
  <si>
    <t>AVL trees are strictly binary, while 2-4 trees are multiway, making their structural properties incompatible.</t>
  </si>
  <si>
    <t>Move-to-front transformation utilizes an adaptive dictionary.</t>
  </si>
  <si>
    <t>Move-to-front dynamically updates its symbol list during encoding, making it an adaptive dictionary method.</t>
  </si>
  <si>
    <t>The mit.edu server is only authoritative for its own zone, so it cannot answer a query for csail.berkeley.edu and will refuse it, making none of the provided descriptions correct.</t>
  </si>
  <si>
    <t>DNS is hierarchical and distributed, so `csail.berkeley.edu` can serve as a name server for `csail.mit.edu` if `mit.edu` delegates that subdomain to it, as DNS allows any host to be a name server for delegated zones.</t>
  </si>
  <si>
    <t>Bufferbloat leads to a significant rise in _____, resulting in interactive applications timing out or becoming unresponsive.</t>
  </si>
  <si>
    <t>Queuing delay</t>
  </si>
  <si>
    <t>Bufferbloat occurs when oversized network buffers hold packets too long, causing a sharp rise in queuing delay. This increased delay disrupts interactive applications, leading to timeouts and unresponsiveness due to untimely packet delivery.</t>
  </si>
  <si>
    <t>Bufferbloat may manifest both on the _____ of the network and within its _____.</t>
  </si>
  <si>
    <t>edge, core</t>
  </si>
  <si>
    <t>Bufferbloat occurs at the network edge, such as in home routers, and within its core, like in backbone infrastructure, due to excessive packet buffering that causes delays.</t>
  </si>
  <si>
    <t>Compared to TCP, DCTCP responds more rapidly to ______.</t>
  </si>
  <si>
    <t>network congestion</t>
  </si>
  <si>
    <t>DCTCP uses ECN marks to detect congestion earlier than TCP, which relies on packet loss, allowing it to respond more rapidly to network congestion.</t>
  </si>
  <si>
    <t>Bufferbloat increases latency without causing a significant reduction in _____. During large file transfers, the bottleneck is the data transfer rate itself.</t>
  </si>
  <si>
    <t>throughput</t>
  </si>
  <si>
    <t>Bufferbloat increases latency because large buffers cause packet delays, but throughput remains high as the link stays saturated and packets are eventually delivered.</t>
  </si>
  <si>
    <t>Bufferbloat can lead _____ to increase its window size because feedback from dropped packets is absent until the queue is full.</t>
  </si>
  <si>
    <t>TCP congestion</t>
  </si>
  <si>
    <t>Bufferbloat can lead TCP congestion control algorithms to increase their window size because large buffers delay packet loss feedback, misleading TCP into perceiving available bandwidth until the queue overflows.</t>
  </si>
  <si>
    <t>A program runs in a virtual memory system. The sequence of pages referenced is: 1, 2, 3, 4, 1, 2, 5, 1, 2, 3, 4, 5. Initially, memory is empty. There are 3 page frames and FIFO replacement is used.
__ pages total have been yanked in.</t>
  </si>
  <si>
    <t>We simulated FIFO with three frames on the reference string. Each page fault loads a page, and the oldest page is replaced when needed. The faults occur at references 1, 2, 3, 4, 1, 2, 5, 3, and 4, totaling nine pages yanked in.</t>
  </si>
  <si>
    <t>In a virtual memory system, a program's page reference sequence is: 1, 2, 3, 4, 1, 2, 5, 1, 2, 3, 4, 5. Initially, memory is empty. The system has 4 page frames and uses the LRU replacement policy. __ pages total have been yanked in.</t>
  </si>
  <si>
    <t>Simulating the LRU page replacement with 4 frames for the given sequence results in 8 page faults, as pages are loaded into memory only when they are not already present in the frames.</t>
  </si>
  <si>
    <t>In the UNIX multiprogramming operating system, programs are assigned priority values. When a program with a higher priority value is executed, it receives the _____ for a longer period during its turn.</t>
  </si>
  <si>
    <t>time slice</t>
  </si>
  <si>
    <t>In UNIX multiprogramming, a higher-priority process receives a longer time slice during its turn, allowing it more CPU time to reduce context-switching overhead and ensure faster progress.</t>
  </si>
  <si>
    <t>Let G be a connected edge-weighted graph and G’ be a graph obtained by adding a single edge to G. Then G has an MST T and G’ an MST T’ such that there is at most one edge in T that is not in T’.</t>
  </si>
  <si>
    <t>Adding an edge to \( T \) creates a cycle; removing the heaviest edge from it yields \( T' \), differing by at most one edge.</t>
  </si>
  <si>
    <t>Given a flow network with V vertices and E edges and a min-cut, the value of the max-flow can be computed in time proportional to E+V.</t>
  </si>
  <si>
    <t>The max-flow equals the min-cut capacity, which can be computed in O(V+E) time by summing capacities of edges crossing the cut.</t>
  </si>
  <si>
    <t>A,D,E</t>
  </si>
  <si>
    <t>The decomposition yields AC from C → A, BG from G → B after H → BCG splits BCDGH into DH and BCGH, and DH remains as a relation, while BEF and CGH are also present but not listed among the options.</t>
  </si>
  <si>
    <t>B,C</t>
  </si>
  <si>
    <t>The intersection AB determines ABEF via A → B and B → EF, but not all attributes of either table. Adding E → C makes AB → ABCF via E → C, ensuring losslessness. Adding B → D makes AB → ABDE via B → D, also ensuring losslessness.</t>
  </si>
  <si>
    <t>B,D</t>
  </si>
  <si>
    <t>A → D is false because A=2 yields D=1 or 2, violating the dependency. AB → D holds as each AB pair determines a unique D. A → CD fails as A=1 yields multiple CD pairs. ABC → D holds since each ABC triplet uniquely determines D.</t>
  </si>
  <si>
    <t>In a database system that implements lock promotion by placing blocked requests at the front of the queue and releasing the original lock before blocking, a test is constructed to verify correct queue placement. The test involves three transactions:
 t1 requests a __(1)__ lock on the database, t2 requests a __(2)__ lock on the database, and t3 requests a __(3)__ lock on the database. Then, t2 requests a promotion to a __(4)__ lock. After confirming t2 is blocked, t1 releases its lock on the database, and a check is made that t2 now holds a __(4)__ lock. 
The database supports only S (shared) and X (exclusive) locks, without multigranularity locking. What lock types should fill blanks (1), (2), (3), and (4) so that the test succeeds only if the promotion request is correctly positioned at the front of the queue?</t>
  </si>
  <si>
    <t>S,S,X,X</t>
  </si>
  <si>
    <t>The test requires t1 and t2 to initially hold compatible S locks, t3 to be blocked by t1's lock to create a queue, and t2 to promote to an exclusive X lock, which must be queued ahead of t3 to succeed.</t>
  </si>
  <si>
    <t>The wait-die strategy prevents all deadlocks by ensuring only higher-priority transactions can wait, eliminating waiting cycles. However, it may abort lower-priority transactions unnecessarily, even when no deadlock would occur.</t>
  </si>
  <si>
    <t>The wound-wait strategy prevents all deadlocks by ensuring that only lower-priority transactions can wait, which eliminates waiting cycles. However, it may abort transactions unnecessarily when a higher-priority transaction requests a lock held by a lower-priority one.</t>
  </si>
  <si>
    <t>NO STEAL ensures _____ in the absence of UNDO logging.</t>
  </si>
  <si>
    <t xml:space="preserve">atomicity </t>
  </si>
  <si>
    <t>NO STEAL prevents uncommitted changes from being written to disk, so without UNDO logging, a crash leaves only committed data, ensuring atomicity as incomplete transactions have no persistent effects to undo.</t>
  </si>
  <si>
    <t>A FORCE policy is useful for achieving _____ without REDO logging.</t>
  </si>
  <si>
    <t xml:space="preserve">durability </t>
  </si>
  <si>
    <t>A FORCE policy ensures durability without REDO logging by writing all committed transaction updates to disk before commit, guaranteeing that committed changes persist after a crash.</t>
  </si>
  <si>
    <t>A,D</t>
  </si>
  <si>
    <t>Stop word removal filters common words like "of" (A). Normalizing vectors aids similarity measurement (D). Inverted files map words to documents, not vice versa (B). The vector space has dimensions per term, not document (C). Cosine similarity normalizes, so length doesn't determine similarity (E). TF-IDF may not increase with term frequency if IDF is zero (F).</t>
  </si>
  <si>
    <t>In IR ranking, unusual words are favored because they have high inverse document frequency, meaning they appear rarely across the corpus, which makes them strong discriminators for identifying relevant documents.</t>
  </si>
  <si>
    <t>Consider 500 documents with docID 1, . . . , 500. The following table contains the number of occurrences of the word “database” in each document:
{{docID, number of “database”}, {1, 4}, {2, 17}, {3, 12}, {4, 7}, {5, 9}, {6-500, 0}}
“DocTermRank” for term = “database” and docID = 2 is __</t>
  </si>
  <si>
    <t>DocTermRank for docID 2 is 34, calculated as term frequency (17) multiplied by the logarithm of the inverse document frequency, where 5 documents contain the term out of 500 total.</t>
  </si>
  <si>
    <t>When a text search query retrieves the top 100 answers, 95 are correct. The quality is considered good due to 95% correctness. Which metric of answer quality does this describe?
A. Accuracy  
B. Precision  
C. Retrieval  
D. Recall</t>
  </si>
  <si>
    <t>This scenario describes precision because it measures the proportion of correct answers (95) among the retrieved set (100), focusing solely on the quality of the returned results.</t>
  </si>
  <si>
    <t>A participant machine that responds to the coordinator without first flushing its prepare records to the log risks violating the _____ property.</t>
  </si>
  <si>
    <t>durability</t>
  </si>
  <si>
    <t>A participant responding before flushing prepare records risks losing its commit state after a crash, violating durability, which ensures transaction effects persist despite failures.</t>
  </si>
  <si>
    <t>Distributed deadlock occurs only if the waits-for graph at a node forms a cycle.</t>
  </si>
  <si>
    <t>Distributed deadlock requires a cycle in the global waits-for graph, not just within a single node's local graph.</t>
  </si>
  <si>
    <t>In 2PC, we need all participant nodes to agree on abort (vote NO) to abort a transaction.</t>
  </si>
  <si>
    <t>In 2PC, abort requires only one node to vote NO, not all.</t>
  </si>
  <si>
    <t>In 2PC phase 2, after the coordinator sends commit message to all participants, participants first respond with Ack, and then generate and flush commit record.</t>
  </si>
  <si>
    <t>Participants respond with Ack only after generating and flushing the commit record, not before.</t>
  </si>
  <si>
    <t>Suppose you are a machine that has just recovered from a crash. You discover only an abort record in your log for transaction T. Under proper 2PC and logging protocols. You are a _____ who finished phase 1 but crashed during _____.</t>
  </si>
  <si>
    <t>coordinator; phase 2</t>
  </si>
  <si>
    <t>The machine is the coordinator because it logged the abort decision after phase 1, but crashed before completing phase 2's abort actions.</t>
  </si>
  <si>
    <t>Suppose in 2PC with logging, we have one coordinator and three participants. It takes 30ms for a coordinator to send messages to all participants; 5, 10, and 15ms for participant 1, 2, and 3 to send a message to the coordinator respectively; and 10ms for each machine to generate and flush a record. Assume for the same message, each participant receives it from the coordinator at the same time. 
Under proper 2PC and logging protocols, the whole 2PC process (from the beginning to the coordinator’s final log flush) take for a successful commit in the best case is _____.</t>
  </si>
  <si>
    <t>130ms</t>
  </si>
  <si>
    <t>In the best case, phase 1 takes 65 ms: coordinator sends (30 ms), participant 3 replies (15 ms), and both log (10 ms each). Phase 2 repeats this, totaling 130 ms.</t>
  </si>
  <si>
    <t>A,C</t>
  </si>
  <si>
    <t>Option A correctly groups by both attacker ID and name, ensuring unique wizards are counted even with duplicate names. Option C also groups by attacker and name, making it correct despite the ORDER BY clause. Option B groups only by name, which could incorrectly combine attacks from different wizards sharing a name.</t>
  </si>
  <si>
    <t>Query C is correct because it ensures the same attacker used two different spells on the same victim and removes duplicates. A lacks DISTINCT and same-attacker condition, while B lacks the same-attacker condition.</t>
  </si>
  <si>
    <t>A,B</t>
  </si>
  <si>
    <t>Options A and B correctly identify spells never used in attacks by excluding those with matching entries in the Attacks table, while option C incorrectly returns only spells that have been used due to its inner join.</t>
  </si>
  <si>
    <t>Use your knowledge of SQL to deduce what is happening during the Battle of Hogwarts. You may assume you have the following tables:
CREATE TABLE Wizards(wizid integer, name text, house text, evil boolean, PRIMARY KEY(wizid));
CREATE TABLE Spells(sid integer, name text, offensive boolean, PRIMARY KEY (sid));
CREATE TABLE Attacks(attackid integer, attacker integer, attacked integer, spell integer, PRIMARY KEY (attackid), FOREIGN KEY(spell) REFERENCES Spells, FOREIGN KEY(attacker) REFERENCES Wizards, FOREIGN KEY(attacked) REFERENCES Wizards);
For the following questions: fill in the blanks to create a query that returns true if more evil wizards cast offensive spells, and returns false if more good wizards cast offensive spells. Note that exactly one answer will be correct.
WITH count_evil_good_spells(evil, num_offensive) AS
(SELECT evil, count(*)
FROM attacks, wizards, spells
WHERE ______ and spell = sid
AND offensive = _______
GROUP BY _______)
SELECT evil
FROM count_evil_good_spells
WHERE num_offensive &gt;= ALL
(SELECT num_offensive
FROM ______);</t>
  </si>
  <si>
    <t>attacker = wizid, true, evil, count_evil_good_spells</t>
  </si>
  <si>
    <t>The query joins attacks to wizards via attacker = wizid, counts only offensive = true spells, groups by evil to compare totals, and selects the evil status with the highest count from the CTE.</t>
  </si>
  <si>
    <t>A relational database has the table:
CREATE TABLE Employee(PNR text, SALARY integer, SEX text, DEPT text, PRIMARY KEY(PNR))
The cost-based optimizer uses the following statistics stored as meta-data in the DBMS’s system catalogue:
• There are 10000 rows in the table.
• There are 20 departments in the company.
• SEX is either ‘Male’ or ‘Female’.
• The lowest salary is 20000 and the highest is 100000.
The query optimizer make the following assumptions on statistics:
• The query optimizer assumes even distributions of data values in columns
• The query optimizer assumes independence between values in different columns
For questions of selectivity, you may answer either with a fraction or a decimal.
The selectivity of the condition: SALARY &lt; 25000 is ____</t>
  </si>
  <si>
    <t>0.06250 or 5000/80001</t>
  </si>
  <si>
    <t>The selectivity is calculated as the fraction of the salary range below 25000, which is (25000 - 20000) divided by the total range of (100000 - 20000 + 1), resulting in 5000/80001 or approximately 0.06250.</t>
  </si>
  <si>
    <t>A relational database has the table:
CREATE TABLE Employee(PNR text, SALARY integer, SEX text, DEPT text, PRIMARY KEY(PNR))
The cost-based optimizer uses the following statistics stored as meta-data in the DBMS’s system catalogue:
• There are 10000 rows in the table.
• There are 20 departments in the company.
• SEX is either ‘Male’ or ‘Female’.
• The lowest salary is 20000 and the highest is 100000.
The query optimizer make the following assumptions on statistics:
• The query optimizer assumes even distributions of data values in columns
• The query optimizer assumes independence between values in different columns
For questions of selectivity, you may answer either with a fraction or a decimal.
The selectivity of the condition: (SALARY &gt; 100000 OR SEX != ’Male’) And DEPT=’Toys’ is ____</t>
  </si>
  <si>
    <t>0.025 or 1/40</t>
  </si>
  <si>
    <t>Since no salary exceeds 100000, the first condition is false, leaving only SEX != 'Male' with selectivity 0.5, and DEPT='Toys' with selectivity 1/20, so the combined selectivity is 0.5 * 0.025 = 0.025.</t>
  </si>
  <si>
    <t>A relational database has the table:
CREATE TABLE Employee(PNR text, SALARY integer, SEX text, DEPT text, PRIMARY KEY(PNR))
The cost-based optimizer uses the following statistics stored as meta-data in the DBMS’s system catalogue:
• There are 10000 rows in the table.
• There are 20 departments in the company.
• SEX is either ‘Male’ or ‘Female’.
• The lowest salary is 20000 and the highest is 100000.
The query optimizer make the following assumptions on statistics:
• The query optimizer assumes even distributions of data values in columns
• The query optimizer assumes independence between values in different columns
For questions of selectivity, you may answer either with a fraction or a decimal.
The selectivity of the condition: (SEX = ’Male’ OR SALARY &gt; 80000) is ____</t>
  </si>
  <si>
    <t>0.62500 or 100001/160002</t>
  </si>
  <si>
    <t>The selectivity is 0.62500, calculated by adding the probability for SEX='Male' (1/2) and SALARY&gt;80000 (20000/80001), then subtracting their overlap due to independence, resulting in 100001/160002.</t>
  </si>
  <si>
    <t>A relational database has the table:
CREATE TABLE Employee(PNR text, SALARY integer, SEX text, DEPT text, PRIMARY KEY(PNR))
The cost-based optimizer uses the following statistics stored as meta-data in the DBMS’s system catalogue:
• There are 10000 rows in the table.
• There are 20 departments in the company.
• SEX is either ‘Male’ or ‘Female’.
• The lowest salary is 20000 and the highest is 100000.
The query optimizer make the following assumptions on statistics:
• The query optimizer assumes even distributions of data values in columns
• The query optimizer assumes independence between values in different columns
For questions of selectivity, you may answer either with a fraction or a decimal.
The selectivity of the condition: ((SEX= ’Male’ AND DEPT = ’Toys’) OR (SEX= ’Female’ AND DEPT = ’Tools’)) AND (SALARY &gt; 50000 OR SALARY &lt; 25000) is ____</t>
  </si>
  <si>
    <t>0.03437 or 2750/80001</t>
  </si>
  <si>
    <t>The selectivity is 2750/80001, calculated by multiplying the combined probability of the OR conditions for SEX and DEPT (0.05) by the combined probability for the SALARY conditions (50000/80001 + 5000/80001).</t>
  </si>
  <si>
    <t>B, C</t>
  </si>
  <si>
    <t>The original max-heap requires the unknown key ≤ 50. After delMax, the key moves and sinks, requiring it to be ≥ 30 to satisfy heap order with its children. Thus, the key must satisfy 30 ≤ ? ≤ 50.</t>
  </si>
  <si>
    <t>The missing node is the right child of 40, so its value must be between 40 and 80. Only 70 fits, allowing 60 to be its left child while maintaining the BST order and the given level-order sequence.</t>
  </si>
  <si>
    <t>A,E</t>
  </si>
  <si>
    <t>The algorithm computes binary digits from least to most significant, so a stack is needed to reverse their order for correct printing. Option A declares a stack, and option E pushes the binary digit (n % 2) onto it, ensuring the digits are output in the proper sequence.</t>
  </si>
  <si>
    <t>The following partial code is intended to print the binary representation of the positive integer n to the standard output. For instance, if n = 6 then 110 is printed and if n = 50 then 110010 is printed.
Stack&lt;Integer&gt; collection = new Stack&lt;Integer&gt;();
while (n &gt; 0)
{
 stack.push(n % 2);
collection.push(n % 2);
 n = n / 2;
}
for (int d : collection)
 StdOut.print(d); 
How many elements are in collection at the end of the execution of the code?
A. Θ(1)
B. Θ(log log n)
C. Θ(log n)
D. Θ(n)
E. Θ(nlog n) 
F. Θ(n^2)</t>
  </si>
  <si>
    <t>The while loop runs until n becomes 0, pushing one digit per iteration and halving n each time, so the number of iterations—and thus stack elements—equals the number of bits in n's binary representation, which is Θ(log n).</t>
  </si>
  <si>
    <t>The following partial code is intended to print the binary representation of the positive integer n to the standard output. For instance, if n = 6 then 110 is printed and if n = 50 then 110010 is printed.
Stack&lt;Integer&gt; collection = new Stack&lt;Integer&gt;();
while (n &gt; 0)
{
 stack.push(n % 2);
collection.push(n % 2);
 n = n / 2;
}
for (int d : collection)
 StdOut.print(d); 
Suppose that collection is implemented as a resizable array. How many times would the array expand its size while running the code?
A. Θ(1)
B. Θ(log log n)
C. Θ(log n)
D. Θ(n)
E. Θ(nlog n) 
F. Θ(n^2)</t>
  </si>
  <si>
    <t>The loop runs Θ(log n) times, pushing elements onto a stack backed by a resizable array that doubles in capacity when full. Starting from a constant initial capacity, the number of doublings needed to accommodate Θ(log n) elements is Θ(log(log n)).</t>
  </si>
  <si>
    <t>Consider an array of 2n elements in the form 1, 2n − 1, 2, 2n − 2, 3, 2n − 3, 4, 2n − 4, . . . , n, n.
For example, here is the array when n = 8: 1 15 2 14 3 13 4 12 5 11 6 10 7 9 8 8 
How many compares does Selection sort make as a function of n in the worst case? Note that the length of the array is 2n, not n.
A. ∼1/4*n^2
B. ∼1/2*n^2
C. ∼n^2
D. ∼2*n^2
E. ∼4*n^2</t>
  </si>
  <si>
    <t>Selection sort always performs \( N(N-1)/2 \) comparisons for an array of length \( N \), regardless of element order. Since \( N = 2n \), this simplifies to \( 2n^2 - n \), which is asymptotically \( \sim 2n^2 \).</t>
  </si>
  <si>
    <t>Consider an array of 2n elements in the form 1, 2n − 1, 2, 2n − 2, 3, 2n − 3, 4, 2n − 4, . . . , n, n.
For example, here is the array when n = 8: 1 15 2 14 3 13 4 12 5 11 6 10 7 9 8 8 
How many compares does Insertion sort make as a function of n in the worst case? Note that the length of the array is 2n, not n.
A. ∼1/4*n^2
B. ∼1/2*n^2
C. ∼n^2
D. ∼2*n^2
E. ∼4*n^2</t>
  </si>
  <si>
    <t>The array alternates small increasing and large decreasing values, causing each insertion to require comparisons proportional to its position. Summing these yields approximately \(n^2\) comparisons, matching the worst-case complexity of insertion sort.</t>
  </si>
  <si>
    <t>Given a binary max heap represented by the array [99, 75, 51, 10, 23, 35, 41, 4], a new node with priority x is inserted as the right child of the node with priority 10. Which of the following conditions on x ensures that the resulting heap remains valid?
A. x ≥ 10
B. x ≤ 10
C. x &gt; 10
D. x &lt; 10
E. 10 ≤ x ≤ 75
F. 4 ≤ x ≤ 10
G. None of the above</t>
  </si>
  <si>
    <t>For the heap to remain valid after insertion, the new node \(x\) must not exceed its parent's priority of 10, so \(x \le 10\) is required.</t>
  </si>
  <si>
    <t>Given a AVL Tree: [50,46,54,44,48,52,58,56,60]
When __ inserted into the given AVL tree, would cause a double rotation.</t>
  </si>
  <si>
    <t>55 or 57</t>
  </si>
  <si>
    <t>Inserting 55 or 57 creates a zigzag (Right-Left) imbalance at node 54, requiring a double rotation to restore balance.</t>
  </si>
  <si>
    <t>In a Binary Search Tree implemented with a linked node structure, the time complexity for the insertion operation is ________, and the time complexity for the sorting operation is ________.</t>
  </si>
  <si>
    <t>Insertion averages O(log n) due to balanced height but degrades to O(n) in worst-case sorted order; sorting via in-order traversal is always O(n) as it visits each node once.</t>
  </si>
  <si>
    <t>The situation in which two elements or keys map to the same location in a hash table is __________</t>
  </si>
  <si>
    <t>Collision</t>
  </si>
  <si>
    <t>A collision occurs when two keys hash to the same location in a hash table, a common situation due to finite table size, which requires resolution methods like chaining or open addressing.</t>
  </si>
  <si>
    <t>The worst-case running time to search for an element in a balanced binary search tree with n elements is ___________</t>
  </si>
  <si>
    <t>O(log n)</t>
  </si>
  <si>
    <t>In a balanced BST, the height is O(log n) because the tree is structured to avoid linear degradation. Searching traverses from root to leaf, taking time proportional to height, so the worst-case running time is Θ(log n).</t>
  </si>
  <si>
    <t>A TreeSet stores elements in sorted order, while a HashSet does not preserve insertion order. By definition, a Set does not allow duplicate values. HashSet is generally more efficient than TreeSet due to its average O(1) time complexity for key operations.</t>
  </si>
  <si>
    <t>Consider the following method:
public static Set&lt;Integer&gt; superSecretMystery(int[][] arr) {
    Set&lt;Integer&gt; result = new TreeSet&lt;&gt;();
    for (int i = arr.length - 1; i &gt;= 0; i--) {
        for (int j = 0; j &lt; arr[i].length; j++) {
            result.add((j - i) * 10 + arr[i][j]);
        }
    }
    return result;
}
For the 2D array input [[2, 0, 4], [12, 10, 0]], the contents of the returned Set: ______________ returned by superSecretMystery. Provide the elements as a comma-separated list within square brackets, e.g., [1, 2, 0, 5].</t>
  </si>
  <si>
    <t>[2, 10, 24]</t>
  </si>
  <si>
    <t>The outer loop processes rows bottom-up, and the inner loop processes columns left-to-right, computing `(j - i) * 10 + arr[i][j]` for each element. The resulting values are added to a TreeSet, which sorts them and removes duplicates, yielding [2, 10, 24].</t>
  </si>
  <si>
    <t>What are the main advantages of the multilist over a standard array-based representation? (Select all that apply.)
A. Matrix element updates occur more quickly with the multilist.  
B. Matrix operations (e.g., multiplication) are generally faster with the multilist
C. If the matrix is sparse (few non-zero elements), the multilist saves space</t>
  </si>
  <si>
    <t>For sparse matrices, a multilist saves space by storing only non-zero elements, unlike an array which allocates space for all elements including zeros.</t>
  </si>
  <si>
    <t>In a simple binary search tree, when deleting a node p, the need for a replacement key depends on p's structure. Consider the three standard cases for deletion: p has no children, one child, or two children.
Which of these statements about the deletion process are correct? (Select all that apply.)
A. A replacement is always required if p is the root.
B. A replacement is always required if p is a leaf.
C. A replacement is always required if p has two non-null children.
D. The optimal choice for replacement must come from p's right subtree.
E. Each deletion operation requires at most one replacement key.</t>
  </si>
  <si>
    <t>C, E</t>
  </si>
  <si>
    <t>In a BST, a node with two children always needs a replacement key from its inorder predecessor or successor to preserve order, and each deletion uses at most one such replacement.</t>
  </si>
  <si>
    <t>Direct memory access (DMA) enhances system performance over traditional programmed I/O mainly because it:
A. removes the need for the OS to check status registers  
B. lowering contention for a shared memory bus
C. allowing data transfers to or from device to occur while user code is running
D. using special I/O addresses to access devices  
E. avoiding the use of interrupts when performing I/O
F. avoiding the use of bus adaptors</t>
  </si>
  <si>
    <t>DMA improves performance primarily by allowing data transfers between devices and memory to occur concurrently with CPU execution of user code, offloading transfer tasks from the CPU and increasing system throughput.</t>
  </si>
  <si>
    <t>Consider a filesystem that uses redo-logging and performs a rename operation that requires writing both a directory entry and, to update modification times, the directory inode. The filesystem will update the log to include this rename operation _______.
A. in the same disk write as the update to the directory entry and directory inode itself
B. before the corresponding updates to the directory entry and the directory inode
C. after the corresponding directory entry update and before the correspodning directory inode update
D. none of the above; the filesystem can order the log updates and directory entry and inode updates arbitrarily
E. after the corresponding updates to the directory entry and the directory inode
F. none of the above; the filesystem will not use the log for this operation</t>
  </si>
  <si>
    <t>In redo-logging, the log must be written to disk before any actual data updates to ensure crash recovery, so the rename operation's log entry is recorded prior to modifying the directory entry and inode.</t>
  </si>
  <si>
    <t>A, E</t>
  </si>
  <si>
    <t>In a copy-on-write filesystem with snapshots, modifying a file's metadata, like its size when appending, requires duplicating its inode to preserve the old version. Similarly, overwriting existing data writes to a new disk location to maintain snapshot integrity, while unmodified data remains shared.</t>
  </si>
  <si>
    <t>B, D</t>
  </si>
  <si>
    <t>A false; listen()/bind() are called once per server socket. B true; client socket gets a local ephemeral port. C false; a remote IP address is not enough. D true; remote port number is required for `connect()`. E false; TCP is byte-stream, so write/read calls are not paired one-to-one.</t>
  </si>
  <si>
    <t>A stateless server processes each request independently without storing client-specific data. A and E are possible because they involve self-contained operations that don't require the server to maintain state, while the others would require the server to track client information.</t>
  </si>
  <si>
    <t>The hypervisor must update shadow page tables when the guest OS modifies its page table entries or changes the active page table pointer, such as during a system call that switches from user to kernel space.</t>
  </si>
  <si>
    <t>A, C, D, E, F</t>
  </si>
  <si>
    <t>The ISA defines the software-visible interface, including the number of registers, instruction semantics, condition codes, addressing modes, and word size. The number of cycles to execute an instruction is an implementation detail of the microarchitecture, not part of the ISA.</t>
  </si>
  <si>
    <t>Identify the stage in the program execution process where copying a program from disk to physical memory occurs.  
A. Compiler  
B. Assembler  
C. Linker  
D. Loader</t>
  </si>
  <si>
    <t>The loader copies the executable from disk into physical memory, preparing it for execution, while the compiler, assembler, and linker handle earlier translation and linking stages.</t>
  </si>
  <si>
    <t>In which stage of CALL is the increment size for pointer arithmetic determined?
A. Compiler
B. Assembler
C. Linker
D. Loader</t>
  </si>
  <si>
    <t>The increment size is determined by the compiler, which translates pointer arithmetic into assembly instructions with the correct offset based on the data type.</t>
  </si>
  <si>
    <t>In a system with a 32 TiB virtual address space and a single-level page table, each page is 256 KiB. The TLB miss probability is 0.2, and the page fault probability is 0.002. TLB access requires 5 cycles, while transferring a page to or from disk takes 1,000,000 cycles. The physical address space is 4 GiB, accessed in 500 cycles. An L1 physically indexed and tagged cache has a 5-cycle access time and a 50% hit rate. On a TLB miss, the MMU next checks physical memory. How many bits are in the virtual page number? _____ bits</t>
  </si>
  <si>
    <t>The virtual address space is 32 TiB, requiring 45 bits, and each 256 KiB page uses 18 bits for the offset, leaving 27 bits for the virtual page number.</t>
  </si>
  <si>
    <t>A system with a 32 TiB virtual address space uses a single-level page table where each page is 256 KiB. The TLB miss probability is 0.2, and the page fault probability is 0.002. TLB access requires 5 cycles, and transferring a page to or from disk takes 1,000,000 cycles. The physical address space is 4 GiB, accessible in 500 cycles. An L1 cache, physically indexed and tagged, has a 5-cycle access time and a 50% hit rate. On a TLB miss, the MMU proceeds to physical memory. What is the total size of the page table in bits, given that each page table entry holds only the translation without permission bits or additional metadata? ____bits</t>
  </si>
  <si>
    <t>14*2^27</t>
  </si>
  <si>
    <t>The page table size is determined by the number of entries and the bits per entry. With a 32 TiB virtual address space and 256 KiB pages, there are \(2^{27}\) virtual pages. Each page table entry requires 14 bits for the physical page number, as the physical address space is 4 GiB. Thus, the total size is \(14 \times 2^{27}\) bits.</t>
  </si>
  <si>
    <t>C,D</t>
  </si>
  <si>
    <t>After concurrent execution, x can be 2 if both cores read x=1 before updating, or 3 if one updates x to 2 before the other reads it.</t>
  </si>
  <si>
    <t>D,E,F,G,H</t>
  </si>
  <si>
    <t>The possible values of y are 3, 4, 5, 6, and 7, as the concurrent updates to shared variables x and y by two threads can result in different interleavings and final sums.</t>
  </si>
  <si>
    <t>A, B</t>
  </si>
  <si>
    <t>Virtual memory gives each process its own address space, creating the illusion of not sharing memory (A), and it enhances stability and security by isolating processes to prevent unauthorized access (B).</t>
  </si>
  <si>
    <t>B, E</t>
  </si>
  <si>
    <t>Multi-level page tables save memory for sparse address spaces by allocating only necessary page tables, unlike single-level tables which require entries for all pages. They also facilitate copy-on-write by allowing efficient sharing and duplication of page table structures.</t>
  </si>
  <si>
    <t>设计一个算法，用于检查有向图 G = (V, E) 是否为强连通图，要求算法在 O(|V| + |E|) 时间内运行。</t>
  </si>
  <si>
    <t>从任意顶点执行深度优先搜索；如果所有顶点都被访问到，则反转所有边并从同一顶点执行另一次深度优先搜索。若两次搜索均访问所有顶点，则该图是强连通的。</t>
  </si>
  <si>
    <t>从任意顶点执行两次深度优先搜索遍历：一次在原始图上，一次在其转置图上。如果两次遍历都能访问所有顶点，则该图是强连通的，因为这确保了每对顶点之间的双向可达性。</t>
  </si>
  <si>
    <t>给定三个列表A、B和C，每个列表的大小均为n。请统计所有满足以下条件的三元组(a, b, c)的数量：其中a ∈ A，b ∈ B，c ∈ C，且a &lt; b &lt; c。要求提供一个时间复杂度为O(n log n)的算法。</t>
  </si>
  <si>
    <t>对每个列表排序，然后对于B中的每个b，使用二分查找统计A中小于b的元素数量和C中大于b的元素数量；将两者的乘积求和。该方法的时间复杂度为O(n log n)。</t>
  </si>
  <si>
    <t>对A和C排序，然后对于B中的每个b，使用二分查找统计小于b的a的数量和大于b的c的数量，将这两个计数相乘，最后对所有b的结果求和。</t>
  </si>
  <si>
    <t>给定一个正数序列（v_1, v_2, ..., v_n），目标是选取其中一个子集，使得子集中数字的和尽可能大，同时满足约束条件：序列中任意两个被选中的数字不能相邻（即如果选中了 v_i，则 v_{i-1} 和 v_{i+1} 不能被选中）。考虑一种贪心算法：反复从剩余序列中选择最大的数字，且该数字不与任何已选数字相邻。证明这种贪心算法并不总能得到最优解。</t>
  </si>
  <si>
    <t>反复选择不与任何已选数字相邻的最大可用数字的贪心算法并不总能产生最优解。一个明显的反例是序列[1, 8, 9, 8, 1]。贪心法的执行过程：首先选取最大数字9，这会阻止其相邻的两个8被选择。随后只能选择两个1，得到的总和为（9 + 1 + 1 = 11）。</t>
  </si>
  <si>
    <t>贪心算法失败是因为它选择了最大的数字，例如在[1,8,9,8,1]中选择了9，从而阻碍了相邻的两个8被选中，而跳过9则允许同时选择两个8，得到更高的总和16。</t>
  </si>
  <si>
    <t>给定一个正数序列（v_1, v_2, ..., v_n），目标是选取其中一个子集，使得子集中数字的总和最大，同时满足约束条件：子集中任意两个数字不能在原序列中相邻（即如果选取了 v_i，则不能选取 v_{i-1} 和 v_{i+1}）。考虑以下算法：令 C₁ 为所有偶数索引数字的集合，C₂ 为所有奇数索引数字的集合，然后选取总和较大的那个集合。证明该算法是不正确的。</t>
  </si>
  <si>
    <t>该算法不正确，因为它未考虑到最优解可能需要跳过不止一个连续元素以获得更大的和，而不仅仅是简单地在偶数索引和奇数索引之间交替选择。例如，对于列表 [3, 2, 1, 4]，该算法会比较 C₁ = {v₂, v₄} = {2, 4}（和为 6）与 C₂ = {v₁, v₃} = {3, 1}（和为 4），并选择和为 6 的 C₁。然而，最优解是 {v₁, v₄} = {3, 4}（和为 7），它同时包含了偶数索引和奇数索引的元素，并且跳过了两个连续元素（v₂ 和 v₃）。</t>
  </si>
  <si>
    <t>该算法仅比较所有偶数索引或所有奇数索引的总和，但最优解可能跳过两个连续元素，例如在[3,2,1,4]中，{3,4}的和高于任一集合。</t>
  </si>
  <si>
    <t>给定一个正数序列（v_1, v_2, ..., v_n），目标是选取该序列的一个子集，使得子集中数字的总和最大，且满足约束条件：子集中任意两个数字在原始序列中不能相邻（即若选取 v_i，则 v_{i-1} 和 v_{i+1} 均不可选取）。设计一个多项式时间算法来寻找最优解，并证明其正确性与时间复杂度。</t>
  </si>
  <si>
    <t>使用动态规划：设 \( dp[i] \) 为前 \( i \) 个元素的最大和。递推关系：\( dp[i] = \max(dp[i-1], dp[i-2] + v_i) \)，基础情况为 \( dp[0]=0, dp[1]=v_1 \)。该方法在 \( O(n) \) 时间内运行，并正确考虑了包含或排除每个元素的情况。</t>
  </si>
  <si>
    <t>该算法采用动态规划，递推关系为 \( dp[i] = \max(dp[i-1], dp[i-2] + v_i) \)，用于计算不选择相邻元素时的最大和，时间复杂度为 \( O(n) \)。</t>
  </si>
  <si>
    <t>在一条实数线上给定 n 个代表城镇的点，请在线路上放置最少数量的火车站，使得每个城镇到至少一个车站的距离不超过 R。车站可以位于线路上的任意点。为此问题设计一个贪心算法，并证明其正确性以及多项式时间的运行复杂度。</t>
  </si>
  <si>
    <t>贪心算法将站点设置在第一个未被覆盖的城镇位置加上R处，从而覆盖其左侧2R范围内的所有城镇。通过始终最大化延伸覆盖范围，该算法确保了使用最少的站点数量，并在排序后以O(n log n)的时间复杂度运行。</t>
  </si>
  <si>
    <t>按坐标对城镇排序，然后反复在距离最左侧未覆盖城镇位置加 R 处设置站点，覆盖所有距离 R 内的城镇。该贪心选择可得到最少站点数，时间复杂度为 \( O(n \log n) \)。</t>
  </si>
  <si>
    <t>给定一组 n 个矩形，每个矩形由两个正整数 a 和 b 表示其边长。若矩形 X 的边长为 (a, b)，矩形 Y 的边长为 (c, d)，则当满足 (a &lt; c 且 b &lt; d) 或 (b &lt; c 且 a &lt; d) 时，X 可放入 Y 内（允许旋转 90 度）。例如，矩形 (1,5) 可放入 (6,2) 内，但不可放入 (3,4) 内。问题要求确定能够按顺序排列的最大矩形数量，使得每个矩形（除最后一个外）都能放入后一个矩形中。
请构造一个多项式时间算法来解决此问题，并给出其正确性证明及时间复杂度分析。</t>
  </si>
  <si>
    <t>按最小边升序、最大边升序对矩形排序。在最大边上计算最长递增子序列，忽略最小边相等且最大边非严格递增的情况。该算法时间复杂度为 O(n log n)。</t>
  </si>
  <si>
    <t>问题简化为寻找最小和最大维度均严格递增的最长链，这可以通过在按矩形较小边排序后，使用动态规划在 O(n²) 时间内解决。</t>
  </si>
  <si>
    <t>设计一个O(n² logn)时间复杂度的算法，用于判断二维平面上n个点的集合中是否存在三个共线的点。我们可以假设这n个点互不相同。</t>
  </si>
  <si>
    <t>将点按x坐标排序，随后遍历每个点，计算其与后续所有点的斜率，在O(n log n)时间内对这些斜率排序并检查重复值；由于重复排序，总体复杂度为O(n² log n)。</t>
  </si>
  <si>
    <t>对于每个点，计算其与之后所有点的斜率，进行排序并检查是否存在重复；若发现重复，则三点共线。该算法时间复杂度为 \(O(n^2 \log n)\)。</t>
  </si>
  <si>
    <t>Dijkstra的最短路径算法和Prim的最小生成树算法具有相同的大O最坏情况运行时间。</t>
  </si>
  <si>
    <t>真</t>
  </si>
  <si>
    <t>两种算法具有相同的渐近复杂度，通常为 O((V+E) log V)，这是由它们基于优先队列的相似结构所决定的。</t>
  </si>
  <si>
    <t>普里姆算法和克鲁斯卡尔算法在寻找最小生成树时，即使图中的边具有负权重，仍然有效。</t>
  </si>
  <si>
    <t>正确</t>
  </si>
  <si>
    <t>负权重不影响最小生成树算法，因为这些算法依赖于权重的比较与求和，而非路径距离。</t>
  </si>
  <si>
    <t>对于大规模输入，归并排序总是比插入排序运行得更快（在相同输入条件下）。</t>
  </si>
  <si>
    <t>归并排序的 O(n log n) 在大规模 n 下优于插入排序的 O(n²)，这是由于渐近增长率决定的。</t>
  </si>
  <si>
    <t>使用二叉堆合并堆比使用左倾堆或斜堆更快，因为我们只需要连接堆数组，然后对结果执行BuildHeap操作。</t>
  </si>
  <si>
    <t>错误</t>
  </si>
  <si>
    <t>二叉堆缺乏高效的合并支持，这与左式堆或斜堆为快速合并而设计的特性不同。</t>
  </si>
  <si>
    <t>在哈希表实现中，与分离链接法相比，开放寻址法的主要优势是什么？</t>
  </si>
  <si>
    <t>更好的缓存性能，因为所有数据都存储在哈希表数组内部。</t>
  </si>
  <si>
    <t>开放寻址通过将所有数据直接存储在哈希表数组中，提升了缓存性能，相比分离链接法中分散的链表节点，它增强了内存局部性并减少了缓存未命中。</t>
  </si>
  <si>
    <t>二项队列实现的是哪种抽象数据类型？</t>
  </si>
  <si>
    <t>优先队列</t>
  </si>
  <si>
    <t>二项队列通过使用具有堆性质的二项树来实现优先队列抽象数据类型，并借助对数时间复杂度的合并操作，高效支持插入、查找最小值和删除最小值操作。</t>
  </si>
  <si>
    <t>抽象数据类型是否优于左倾堆？</t>
  </si>
  <si>
    <t>不，抽象数据类型并不比左倾堆“更好”；它们是不同的概念，无法在优劣上直接比较。</t>
  </si>
  <si>
    <t>抽象数据类型是概念模型，而左倾堆是优先队列的具体实现；比较它们就如同比较蓝图与特定引擎设计。</t>
  </si>
  <si>
    <t>假设在快速排序中，我们选择五个元素的中位数作为枢轴。若有一个包含 N 个元素的数组，则我们取以下位置元素的中位数：左端（= 0）、右端（= N – 1）、中心（左端与右端的平均值，向下取整）、左中心（左端与中心的平均值，向下取整）以及右中心（右端与中心的平均值，向下取整）。这些元素的中位数即为枢轴。
该版本快速排序的最坏情况运行时间是多少？</t>
  </si>
  <si>
    <t>基准元素是五个固定位置的中位数，而非真实中位数。对手可以通过排列元素使该基准始终处于极端位置，导致递归深度达到 O(N) 层级，总比较次数达到 O(N²)。</t>
  </si>
  <si>
    <t>克鲁斯卡尔最小生成树算法使用堆来快速找到尚未被选中的最小成本边。如果算法不使用堆，而是使用一个简单的无序数组来存储边，那么该算法的运行时间会是多少？</t>
  </si>
  <si>
    <t>使用未排序数组将需要每次扫描所有边来找到最小值，从而将时间增加到O(E²)，而使用堆时为O(E log E)，因为每次E次迭代最多扫描E条边。</t>
  </si>
  <si>
    <t>使用未排序数组需要每次扫描所有边以找到最小值，导致时间复杂度为 O(|E|²)，而使用堆则可以实现 O(|E| log |E|) 的时间复杂度。</t>
  </si>
  <si>
    <t>在包含N个项目的并查集数据结构中，若使用按大小合并而不进行路径压缩，则任意M次合并和/或查找操作组合最多需要______时间。</t>
  </si>
  <si>
    <t>按大小合并将树深度限制在 \(O(\log N)\)，因此每次查找（以及每次使用查找的合并）需要 \(O(\log N)\) 时间。因此，\(M\) 次操作最多需要 \(O(M \log N)\) 时间。</t>
  </si>
  <si>
    <t>描述或图示将序列 77、22、9、68、16、34、13、8 依次插入一个初始为空的二叉最小堆后得到的二叉最小堆。</t>
  </si>
  <si>
    <t>将序列 77, 22, 9, 68, 16, 34, 13, 8 依次插入初始为空的二叉最小堆后，得到的最终二叉最小堆为： 
树形表示： 
``` 
8 
/ \ 
9 13 
/ \ / \ 
22 16 34 77 
/ 
68 
``` 
数组表示：[8, 9, 13, 22, 16, 34, 77, 68]</t>
  </si>
  <si>
    <t>最终的最小堆为 [8, 9, 13, 16, 68, 34, 22, 77]，这是通过将每个元素插入到下一个叶子节点，并通过上浮操作维持最小堆性质实现的。</t>
  </si>
  <si>
    <t>假设对一棵初始为空的伸展树执行以下操作：插入(1)、插入(10)、插入(5)、插入(3)、插入(7)、插入(13)、查找(3)。
请展示每步操作后伸展树的状态，务必标注每棵树所对应的已完成操作。</t>
  </si>
  <si>
    <t>插入(1)后：树仅包含节点1。 
插入(10)后：树以10为根节点，1为左子节点。 
插入(5)后：树以5为根节点，1为左子节点，10为右子节点。 
插入(3)后：树以3为根节点，1为左子节点，5为右子节点（其中10为5的右子节点）。 
插入(7)后：树以7为根节点，5为左子节点（其中3为5的左子节点，1为3的左子节点），10为右子节点。 
插入(13)后：树以13为根节点，10为左子节点（其中7为10的左子节点，5为7的左子节点，依此类推），无右子节点。 
查找(3)后：树以3为根节点，1为左子节点，10为右子节点（其中5为10的左子节点，7为5的右子节点，13为10的右子节点）。</t>
  </si>
  <si>
    <t>在每次插入或查找操作后，伸展操作通过旋转将被访问的节点移至根节点，最终形成的树以3为根节点，1为左子节点，10为右子节点并附带其子树。</t>
  </si>
  <si>
    <t>假设对一棵初始为空的伸展树执行以下操作：插入(1)、插入(10)、插入(5)、插入(3)、插入(7)、插入(13)、查找(3)。
请展示执行上述每次操作后伸展树的状态。务必标记并描述每棵树，说明你刚刚完成的操作。</t>
  </si>
  <si>
    <t>插入(1)后：树仅包含节点1。 
插入(10)后：树以10为根节点，1为左子节点。 
插入(5)后：树以5为根节点，1为左子节点，10为右子节点。 
插入(3)后：树以3为根节点，1为左子节点，5为右子节点（其中10为5的右子节点）。 
插入(7)后：树以7为根节点，5为左子节点（其中3为5的左子节点，1为3的左子节点），10为右子节点（其中13为10的右子节点）。 
插入(13)后：树以13为根节点，10为左子节点（其中7为10的左子节点，5为7的左子节点等），无右子节点。 
查找(3)后：树以3为根节点，1为左子节点，10为右子节点（其中5为10的左子节点，7为5的右子节点，13为10的右子节点）。</t>
  </si>
  <si>
    <t>我们逐步执行每个操作，在每次插入或查找后进行伸展。伸展操作使用zig、zig-zig或zig-zag旋转将被访问节点移至根节点。
1. **插入(1)**：空树 → 将1作为根节点插入。 
树：[1]
2. **插入(10)**：将10作为1的右子节点插入（因为10 &gt; 1），然后通过一次zig旋转（单旋转）将10伸展至根节点： 
- 初始状态：1（根节点）的右子节点为10。 
- 在1处左旋：10成为根节点，1成为10的左子节点。 
树：10为根节点，左子节点为1。
3. **插入(5)**：从根节点10开始。5 &lt; 10，向左至1。5 &gt; 1，将5作为1的右子节点插入。将5伸展至根节点： 
- 路径：10（根节点）– 左子节点1 – 右子节点5。 
- 5是1的右子节点，且1是10的左子节点 → 属于zig-zag情况（左-右）。 
* 在1处右旋：5成为10的子节点，1成为5的左子节点。 
中间状态：10为根节点，左子节点为5，5的左子节点为1。 
* 在10处左旋：5成为根节点，10成为5的右子节点。 
树：5为根节点，左子节点为1，右子节点为10。
4. **插入(3)**：从根节点5开始。3 &lt; 5，向左至1。3 &gt; 1，将3作为1的右子节点插入。将3伸展至根节点： 
- 路径：5 – 左子节点1 – 右子节点3。 
- 与上述相同的zig-zag模式（左-右）： 
* 在1处右旋：3成为5的左子节点，1成为3的左子节点。 
中间状态：5为根节点，左子节点为3，3的左子节点为1。 
* 在5处左旋：3成为根节点，5成为3的右子节点。 
树：</t>
  </si>
  <si>
    <t>对于中文、日文等书写时词与词之间无空格的语言，必须设计一种算法来识别给定文本中可能的词语边界。类似地，在英语中，这相当于处理如 "meetateight" 这样的字符串，并确定最佳切分，例如 "meet at eight"。现提供一个函数 Quality()，该函数对任意字符串返回一个数值分数，反映其与语言中词语的相似程度，分数越高表示越像词语。一个切分的总质量是其各词语质量之和。设计一种自底向上的动态规划算法，给定字符串 y，找出总质量最大的切分。请给出递推关系、伪代码和运行时间分析，其中每次调用 Quality() 视为 O(1) 操作。</t>
  </si>
  <si>
    <t>设输入字符串 \( y \) 的长度为 \( n \)，下标从 1 到 \( n \)。定义 \( dp[i] \) 为前缀 \( y[1..i] \) 可达到的最大总质量。递推关系为：
\[
dp[i] = \max_{1 \leq j \leq i} \left( dp[j-1] + \text{Quality}(y[j..i]) \right),
\]
其中基础情况为 \( dp[0] = 0 \)。最优分割通过从 \( dp[n] \) 回溯得到。
伪代码：
```
function Segment(y):
n = length(y)
令 dp[0..n] 为初始化为 -∞ 的数组
dp[0] = 0
令 prev[1..n] 为用于回溯的数组
for i = 1 to n:
for j = 1 to i:
candidate = dp[j-1] + Quality(y[j..i])
if candidate &gt; dp[i]:
dp[i] = candidate
prev[i] = j-1 // 存储单词 y[j..i] 前的分割点
// 重构
splits = []
i = n
while i &gt; 0:
start = prev[i] + 1
将单词 y[start..i] 加入分割结果（从 start 到 end）
i = prev[i]
反转分割结果的顺序
return 分割结果与 dp[n]
```
运行时间：\( O(n^2) \)，空间复杂度为 \( O(n) \)（用于存储 \( dp \) 和 \( prev \)）。</t>
  </si>
  <si>
    <t>为找到最大化总单词质量的最优分割，采用动态规划：对每个前缀长度 \( i \)，计算 \( dp[i] \) 为所有可能的最后一个单词 \( y[j..i] \) 对应的 \( dp[j-1] + \text{Quality}(y[j..i]) \) 的最大值，其中 \( dp[0]=0 \)。这得到一个 \( O(n^2) \) 的算法。</t>
  </si>
  <si>
    <t>假设存在一个程序，能够判定任意给定程序是否会停机。构造一个程序，该程序接收一个自然数 N 并执行以下步骤： 
1. 生成所有大小不超过 N 比特的程序。 
2. 使用停机判定器确定这些程序中哪些会停机。 
3. 模拟每一个会停机的程序并记录其输出。 
4. 输出所记录输出中最大值的两倍。 
对于任意自然数 N，该程序是否会终止？</t>
  </si>
  <si>
    <t>该程序对每个自然数 \( N \) 都会停机。</t>
  </si>
  <si>
    <t>给定一个停机判定器，该程序枚举所有规模≤N的有限多个程序，利用该判定器识别哪些程序会停机，模拟那些（保证终止的）程序，并计算输出，因此对于任意N，每一步都会停机。</t>
  </si>
  <si>
    <t>假设存在一个程序，能够判定任意给定程序是否停机。构造一个程序，该程序接受一个自然数 N 并执行以下步骤： 
1. 生成所有大小不超过 N 比特的程序。 
2. 使用停机判定器确定这些程序中哪些会停机。 
3. 模拟每一个会停机的程序并记录其输出。 
4. 输出所记录输出中最大值的两倍。 
证明该程序的大小为 log₂ N + O(1) 比特。</t>
  </si>
  <si>
    <t>程序大小为 log₂ N + O(1) 比特，因为它可以通过使用 log₂ N 比特存储 N，再加上一个使用预设停机判定器的恒定大小解释器来编码。</t>
  </si>
  <si>
    <t>该程序将 \(N\) 存储在 \(\log_2 N\) 位中，其余部分作为使用停机判定器的常量代码，总计 \(\log_2 N + O(1)\) 位。</t>
  </si>
  <si>
    <t>假设存在一个程序，能够判定任意给定程序是否会停机。构造一个程序，该程序接受一个自然数 N 并执行以下步骤： 
1. 生成所有大小不超过 N 比特的程序。 
2. 使用停机判定器确定这些程序中哪些会停机。 
3. 模拟每一个会停机的程序并记录其输出。 
4. 输出所记录输出中最大值的两倍。 
证明：(i) 存在整数 N₀，使得对所有 N ≥ N₀，不等式 log₂ N + O(1) &lt; N 成立；且 (ii) 对于任何满足该不等式的 N，所构造的程序属于步骤 (2) 中生成的程序之一。</t>
  </si>
  <si>
    <t>构造出的程序必然在足够大的N时被包含在生成程序中，因为其大小受限于log₂ N + O(1)，当N足够大时该值小于N，从而确保其被枚举包含。</t>
  </si>
  <si>
    <t>该程序的大小为 log₂ N + O(1)，对于足够大的 N 而言小于 N，因此它必须被包含在自身对大小不超过 N 的程序的枚举中。</t>
  </si>
  <si>
    <t>假设存在一个程序，能够判定任意给定程序是否会停机。构造一个程序，该程序接收一个自然数 N 并执行以下步骤： 
1. 生成所有大小不超过 N 比特的程序。 
2. 使用停机判定器确定这些程序中哪些会停机。 
3. 模拟每一个会停机的程序并记录其输出。 
4. 输出所记录输出中最大值的两倍。 
证明这会导致矛盾，从而得出结论：不存在能够解决任意程序停机问题的算法。</t>
  </si>
  <si>
    <t>所描述的构造导致矛盾，从而证明停机判定器不可能存在。</t>
  </si>
  <si>
    <t>假设存在一个停机判定器，构造一个使用该判定器来分析自身的程序会导致矛盾：该判定器必然错误预测程序自身的停机行为，从而证明这样的判定器不可能存在。</t>
  </si>
  <si>
    <t>一个频繁k序列中包含多少个频繁(k-1)序列？ 
A. k-1 
B. k 
C. k+1 
D. 未知</t>
  </si>
  <si>
    <t>一个频繁k序列恰好包含k个频繁(k-1)序列，因为从k个位置的每个位置移除一个项目会产生不同的子序列，根据Apriori性质，这些子序列都保持频繁。</t>
  </si>
  <si>
    <t>如果列表已经排序，哪种排序算法最合适？为什么？</t>
  </si>
  <si>
    <t>插入排序</t>
  </si>
  <si>
    <t>插入排序是最佳选择，因为它在处理已排序列表时具有线性时间复杂度 O(n)，仅需 n-1 次比较且无需交换操作，这使其对已有序数据具有极高的效率和适应性。</t>
  </si>
  <si>
    <t>以下哪种存储器类型通常具有最短的访问时间： 
A. DRAM 
B. SRAM 
C. 磁盘 
D. 磁带</t>
  </si>
  <si>
    <t>SRAM具有最短的访问时间，因为它使用快速的电子触发器，无需机械部件或刷新周期，因此比DRAM、磁盘或顺序访问磁带更快。</t>
  </si>
  <si>
    <t>当没有I/O活动时，哪种I/O技术能更有效地利用CPU周期？ 
A. 中断 
B. 轮询</t>
  </si>
  <si>
    <t>中断驱动的I/O在无I/O活动时能实现更高的CPU利用率，因为CPU可以不受干扰地执行其他任务，而轮询方式会浪费周期在非必要的状态检查上。</t>
  </si>
  <si>
    <t>在一个具有16字块的直接映射缓存中，地址为0111 0011 1100 1000的字存储在某缓存行中。请提供必须存储在同一缓存行中的另一个字的地址：_____。</t>
  </si>
  <si>
    <t>在直接映射缓存中，每个块包含16个字，块内偏移量为最低4位。同一块中的其他字必须共享所有高位地址，因此仅将偏移量改为0000即可得到0111 0011 1100 0000。</t>
  </si>
  <si>
    <t>在下列I/O技术中，处理器在I/O过程中的参与度最低的是哪一项？ 
A. DMA 
B. 程序控制I/O 
C. 中断驱动I/O</t>
  </si>
  <si>
    <t>DMA通过使用专用控制器直接在内存和I/O设备之间处理数据传输，最大限度地减少处理器参与，使CPU能够执行其他任务，直到整个传输完成。</t>
  </si>
  <si>
    <t>给定一个磁盘，其属性如下：(1) 旋转一周时间为 10 ms；(2) 平均寻道时间 = 6 ms，扇区大小 = 512 字节，每磁道扇区数 = 100。那么，从发出地址开始计算，读取连续 10 个扇区所需的时间为 _____。 
（对于本题，可将平均旋转延迟视为旋转一周时间的一半。）</t>
  </si>
  <si>
    <t>12 毫秒</t>
  </si>
  <si>
    <t>总时间12毫秒是平均寻道时间（6毫秒）、平均旋转延迟（5毫秒）以及连续10个扇区的传输时间（1毫秒）的总和。</t>
  </si>
  <si>
    <t>考虑一个数据字长度为M、码字长度为N的纠错码。假设M = 10。若该码旨在纠正一个错误，则N的最小值是多少？</t>
  </si>
  <si>
    <t>为了纠正一个错误，汉明界要求 \(2^{N-10} \ge N+1\)。测试数值表明 \(N=13\) 不满足条件（\(8 &lt; 14\)），而 \(N=14\) 满足（\(16 \ge 15\)），缩短汉明码可实现这一点。</t>
  </si>
  <si>
    <t>已知一个内存芯片封装有4个数据引脚，数据传输速率为每秒200万次传输（MT/s），则内存周期时间为______秒。传输108位所需的时间为______秒。</t>
  </si>
  <si>
    <t>存储周期时间是传输速率的倒数：\(1 / (2 \times 10^6) = 5 \times 10^{-7}\) 秒。每次传输4位，108位需要27次传输，耗时 \(27 \times 5 \times 10^{-7} = 1.35 \times 10^{-5}\) 秒。</t>
  </si>
  <si>
    <t>I/O的两种寻址方案是：_____ 和 _____</t>
  </si>
  <si>
    <t>内存映射I/O，独立I/O</t>
  </si>
  <si>
    <t>内存映射I/O与内存使用相同的地址空间，允许通过标准内存指令访问设备。独立I/O使用独立的地址空间，需要专用的I/O指令。</t>
  </si>
  <si>
    <t>解释为什么在缓存设计中，关联映射具有相对较长的命中时间。</t>
  </si>
  <si>
    <t>关联映射具有相对较长的命中时间，因为它需要并行搜索所有缓存行以找到匹配项。</t>
  </si>
  <si>
    <t>关联映射需要对所有缓存行进行并行比较以定位数据块，这比直接索引查找涉及更复杂的硬件和信号传播延迟，从而增加了命中时间。</t>
  </si>
  <si>
    <t>以下哪项是/是错误的？ 
A. 目前NIST不强制要求密码中必须使用特殊符号。 
B. 密码分析学涉及如何攻击密码系统。 
C. 真正的随机数是通过算法由种子生成的。 
D. 在加密一条消息时，流密码在每一步生成一个二进制密钥流位用于加密。</t>
  </si>
  <si>
    <t>陈述A是正确的，因为NIST不再强制要求使用特殊字符。B根据密码分析的定义是正确的。C是错误的，因为真正的随机性需要非确定性来源，而非基于种子的算法。D对于二进制加法流密码本质上是正确的。</t>
  </si>
  <si>
    <t>以下陈述中哪一项/哪些是正确的？ 
A. 使用 SHA-2 函数 ℎ(𝑥) 对密码 𝑝 进行哈希处理是一种推荐的方法。 
B. 在系统设计中，安全措施会引入额外成本。 
C. 哈希函数 SHA-384 基于 Merkle-Damgård 结构构建。 
D. 哈希函数不提供保密性。</t>
  </si>
  <si>
    <t>A不正确，因为SHA-2速度快，不适合用于密码存储，密码存储需要缓慢的、加盐的哈希处理。B正确，因为安全性会增加成本。C正确，因为SHA-384采用Merkle-Damgård结构。D正确，因为哈希缺乏加密所需的保密性。</t>
  </si>
  <si>
    <t>以下哪项为假？ 
A. Diffie-Hellman 不能用于签名。 
B. 自签名证书无法从其他证书继承信任。 
C. 如果用户使用 FIDO2 登录系统，则不会向服务器提供密码。 
D. 在认证加密中，MAC-then-Encrypt 优于 Encrypt-then-MAC。</t>
  </si>
  <si>
    <t>Diffie-Hellman 用于密钥交换而非签名，因此 A 正确。自签名证书缺少 CA 链，故 B 正确。FIDO2 使用加密密钥而非密码，因此 C 正确。先加密后 MAC 比先 MAC 后加密更安全，所以 D 错误。</t>
  </si>
  <si>
    <t>以下哪项陈述是错误的？ 
A. 一个4单元、每单元有4种可能性的密码至少需要8位二进制表示。 
B. 为高效计算哈希值，通常倾向于使用GPU而非CPU。 
C. 在彩虹表中，给定一个哈希值，归约函数的作用是找到一个密码，其哈希值等于输入的哈希值。 
D. 给定一条14字节的消息，其AES密文为14字节。</t>
  </si>
  <si>
    <t>A为真，因为256种可能性需要8位。B为真，因为GPU在大规模哈希运算中效率更高。C为假，因为归约函数生成候选密码，而非直接找到匹配项。D为假，因为AES使用16字节块，因此填充会增加密文大小。</t>
  </si>
  <si>
    <t>以下哪项为真？ 
A. 在CBC模式中，解密的初始向量必须与加密的初始向量相同。 
B. AES的所有操作模式均不提供完整性保护。 
C. 在Bitlocker中，卷主密钥由全卷加密密钥保护。 
D. X25519曲线为Diffie-Hellman定义了特定的𝑝和𝑔。</t>
  </si>
  <si>
    <t>A 正确，CBC 解密需要使用与加密时相同的 IV 才能正确恢复第一个明文块。B 错误，标准 AES 模式仅提供保密性。C 错误，卷主密钥用于加密全卷加密密钥。D 正确，X25519 规定了固定的素数域和基点，类似于 DH 参数中的 (p) 和 (g)。</t>
  </si>
  <si>
    <t>以下哪项陈述是错误的？ 
A. 在哈希函数中，弱碰撞抵抗会受到生日悖论的影响。 
B. 在带关联数据的认证加密中，关联数据不会被加密。 
C. 在流密码中，使用的密钥流长度必须等于待加密明文的长度。 
D. 在CBC模式中，待加密的明文块应先与上一个明文块进行异或操作，再通过分组密码处理。</t>
  </si>
  <si>
    <t>A是错误的，因为生日悖论适用于强抗碰撞性，而非弱抗碰撞性。D是错误的，因为CBC模式是将每个明文块与前一个密文块进行异或，而不是与前一个明文块进行异或。</t>
  </si>
  <si>
    <t>常规文件有一个称为___的编号，它是磁盘上i节点数组的索引。</t>
  </si>
  <si>
    <t>i-number (inode 编号)</t>
  </si>
  <si>
    <t>i-number是磁盘inode表中的一个索引，它唯一标识文件的inode，该inode存储文件的元数据和数据指针。</t>
  </si>
  <si>
    <t>以下哪项为真？ 
A. 在（非伪）随机置换中，其输入的大小等于输出的大小。 
B. 在AES中，密钥（用于生成轮密钥）的大小不必等于分组大小。 
C. 在Web服务器中，其证书的主体名称通常是其域名。 
D. HTTPS是由TLS保护的HTTP协议。</t>
  </si>
  <si>
    <t>随机排列的输入和输出集合相同，因此它们的大小一致。AES密钥长度（128–256位）与其128位分组长度不同。网络服务器证书使用域名作为主体。HTTPS是通过TLS加密的HTTP。</t>
  </si>
  <si>
    <t>在一个通过共享内存进行通信的多进程系统中，进程可以在没有任何同步机制的情况下更新共享内存中的变量，同时仍能保证数据一致性。</t>
  </si>
  <si>
    <t>在没有同步的情况下，共享内存中的并发更新可能导致竞态条件，使得数据一致性无法得到保证。</t>
  </si>
  <si>
    <t>read和write系统调用接受三个参数；arg1是fd，arg2是void*或char*，指向存储待读写数据的内存区域的指针，arg3是size_t，表示要读写的字节数。</t>
  </si>
  <si>
    <t>读写系统调用各接受三个参数：文件描述符、用于数据传输的缓冲区指针以及字节计数。</t>
  </si>
  <si>
    <t>__ shell 用于手机</t>
  </si>
  <si>
    <t>Android shell（或移动设备特定的shell，如sh、bash，或移动操作系统环境中的自定义shell）</t>
  </si>
  <si>
    <t>Android 使用 mksh 作为其命令行界面的 shell，而 Mosh 是一种为移动连接设计的远程访问工具。</t>
  </si>
  <si>
    <t>Systemd、launchd、init 都被称为守护进程</t>
  </si>
  <si>
    <t>Systemd、launchd 和 init 都是用于管理服务的后台初始化系统，因此它们属于守护进程。</t>
  </si>
  <si>
    <t>________编程涉及快速连续地执行不同任务，而________编程意味着同时执行不同任务，从而提高处理速度。</t>
  </si>
  <si>
    <t>并发，并行</t>
  </si>
  <si>
    <t>并发编程在单个或多个核心上快速切换任务，而并行编程则在多个核心上同时执行任务以提升速度。</t>
  </si>
  <si>
    <t>________内核设计为易于扩展，允许在不中断系统的情况下添加新功能。相比之下，________将核心功能最小化，并将大多数服务运行在用户空间，从而提升安全性和稳定性。</t>
  </si>
  <si>
    <t>模块化，微内核</t>
  </si>
  <si>
    <t>模块化内核允许通过模块动态添加功能而无需中断系统。微内核将核心功能最小化，使大多数服务在用户空间运行以增强安全性和稳定性。</t>
  </si>
  <si>
    <t>以下哪种是脚本语言？ 
A. PHP 
B. Perl 
C. AWK 
D. 以上所有选项</t>
  </si>
  <si>
    <t>PHP、Perl和AWK都是为自动化任务设计的解释型语言，因此都属于脚本语言。</t>
  </si>
  <si>
    <t>考虑三种调度算法：FCFS、RR 和 SJF。针对短作业，请按照平均等待时间由短到长的顺序对这三种算法进行排序，并简要说明理由。</t>
  </si>
  <si>
    <t>SJF、RR、FCFS</t>
  </si>
  <si>
    <t>SJF通过优先处理短作业来最小化其等待时间。RR通过交错执行，相比FCFS减少了长作业造成的阻塞，而在FCFS中若长作业先到达，短作业则需等待。因此，SJF的平均等待时间最低，其次是RR，最后是FCFS。</t>
  </si>
  <si>
    <t>考虑三种调度算法：FCFS、RR和SJF。针对长作业，请按平均响应比的升序对这三种算法进行排序，并简要说明理由。</t>
  </si>
  <si>
    <t>FCFS、RR、SJF</t>
  </si>
  <si>
    <t>先来先服务（FCFS）可以在任务到达后立即开始执行，避免任务饥饿。轮询调度（RR）保证了公平性，但会交错执行。最短作业优先（SJF）会优先处理耗时较长的任务，从而获得最高的响应率。</t>
  </si>
  <si>
    <t>定义非线性数据结构并提供一个例子。</t>
  </si>
  <si>
    <t>非线性数据结构是指数据元素并非按顺序或线性排列，而是以层次或网络形式组织，其中每个元素可以连接多个其他元素。例如树（如二叉树）和图。</t>
  </si>
  <si>
    <t>非线性数据结构以层次或网络形式组织元素，允许每个元素存在多个连接点，这与线性序列不同。以二叉树为代表的树结构通过父子关系体现了这一特性。</t>
  </si>
  <si>
    <t>什么是线性数据结构？请举例说明。</t>
  </si>
  <si>
    <t>线性数据结构是一种数据元素按顺序排列的数据结构，其中每个元素（除首尾元素外）均与其前驱和后继元素相连。例如数组、链表、栈和队列。</t>
  </si>
  <si>
    <t>线性数据结构按顺序排列元素，每个元素与其前驱和后继相连，从而实现直接遍历。数组通过将项目存储在连续内存中并按索引顺序排列，体现了这一特性。</t>
  </si>
  <si>
    <t>判断数组 [10, 5, 20, -, -, 9, 25] 是否构成一个有效的二叉搜索树。</t>
  </si>
  <si>
    <t>该数组违反了二叉搜索树的规则，因为右子树中的9小于根节点10。</t>
  </si>
  <si>
    <t>程序P处理500个学生成绩，每个成绩是0到100之间的整数。它计算并输出高于50的每个成绩出现的频次。P存储这些频次数的最佳方法是什么？ 
A. 一个包含50个数字的数组 
B. 一个包含100个数字的数组 
C. 一个包含500个数字的数组 
D. 一个动态分配的包含550个数字的数组</t>
  </si>
  <si>
    <t>该程序仅统计51至100的分数，共有50个可能取值，因此大小为50的数组是最优的。</t>
  </si>
  <si>
    <t>设A[1...n]是一个包含n个不同数字的数组。若满足 i &lt; j 且 A[i] &gt; A[j]，则称数对 (i, j) 为A的一个逆序。在任意一个n个元素的排列中，逆序数量的期望值是多少？ 
A. n(n-1)/2 
B. n(n-1)/4 
C. n(n+1)/4 
D. 2n[logn]</t>
  </si>
  <si>
    <t>在一个随机排列中，共有 \( \frac{n(n-1)}{2} \) 对 \( (i, j) \) 满足 \( i &lt; j \)，且每一对是逆序的概率为 \( \frac{1}{2} \)，因此期望值为 \( \frac{n(n-1)}{4} \)。</t>
  </si>
  <si>
    <t>给定一个同时包含负数和正数的数组，将数字按符号分离、使所有正数位于一侧而所有负数位于另一侧的算法，其最坏情况时间复杂度是多少？ 
A. O(N) 
B. O(N Log N) 
C. O(N * N) 
D. O(N Log (Log N))</t>
  </si>
  <si>
    <t>该算法采用双指针方法，每个元素最多被访问一次，仅需单次遍历数组，因此最坏情况下的时间复杂度为线性O(N)。</t>
  </si>
  <si>
    <t>一种算法对一组数据项执行 √(log N) 次查找操作、N 次插入操作、√(log N) 次删除操作以及 √(log N) 次减小关键字操作，这些数据项的关键字来自一个线性有序集合。对于删除操作，会提供指向待删除记录的指针；对于减小关键字操作，会提供指向待修改关键字记录的指针。为了在所有操作上达到最优的整体渐近复杂度，下列哪种数据结构最合适？ 
A. 无序数组 
B. 最小堆 
C. 有序数组 
D. 有序双向链表</t>
  </si>
  <si>
    <t>未排序数组是最优的，因为它支持 O(1) 的插入操作，这在当前工作负载中占主导地位，而其他数据结构的插入速度较慢。</t>
  </si>
  <si>
    <t>在双向链表中，插入操作会影响的指针数量为 
A. 5 
B. 0 
C. 1 
D. 以上都不是</t>
  </si>
  <si>
    <t>更新的指针数量取决于插入位置以及是否考虑头/尾指针，因此它不是像5、0或1这样的固定值。</t>
  </si>
  <si>
    <t>考虑一个未排序的单链表实现。假设其表示包含头指针和尾指针（即指向链表第一个节点和最后一个节点的指针）。给定这种表示方式，以下哪个操作无法在O(1)时间内完成？ 
A. 在链表前端插入节点 
B. 在链表末尾插入节点 
C. 删除链表的前端节点 
D. 删除链表的最后一个节点</t>
  </si>
  <si>
    <t>在带有头指针和尾指针的单向链表中删除最后一个节点，需要从头节点遍历找到倒数第二个节点以更新其next指针，这一操作需要O(n)的时间复杂度。</t>
  </si>
  <si>
    <t>在一个带有指向首节点和末节点的指针F和L的单向链表中，以下哪个操作的时间成本会随链表长度变化？ 
A. 删除链表的第一个元素 
B. 交换链表的前两个元素 
C. 删除链表的最后一个元素 
D. 在链表末尾添加一个元素</t>
  </si>
  <si>
    <t>在单向链表中删除最后一个元素需要从头节点遍历至倒数第二个节点以更新其指针，这一操作的时间复杂度为 O(n)，与链表的长度成正比。</t>
  </si>
  <si>
    <t>以下操作中，哪一项在双向链表上比在线性链表上执行效率更高？ 
A. 删除给定位置的节点 
B. 在未排序的列表中搜索给定项 
C. 在给定位置的节点后插入节点 
D. 遍历列表以处理每个节点</t>
  </si>
  <si>
    <t>双向链表允许在给定节点直接指针的情况下，通过使用前驱指针更新链接实现 O(1) 时间复杂度的节点删除，而单向链表需要 O(n) 时间查找前驱节点。</t>
  </si>
  <si>
    <t>考虑一个包含 n 个节点的单链表，其中 n &gt; 8。查找从头开始的第 8 个元素和从末尾开始的第 8 个元素的时间复杂度分别是多少？ 
A. O(1) 和 O(n) 
B. O(1) 和 O(1) 
C. O(n) 和 O(1) 
D. O(n) 和 O(n)</t>
  </si>
  <si>
    <t>从开头找到第8个元素的时间复杂度是O(1)，因为这只需要固定的7步遍历。从末尾找到第8个元素的时间复杂度是O(n)，因为任何方法都必须遍历链表以确定其长度或相对位置。</t>
  </si>
  <si>
    <t>假设你有一个指向单链表中节点X的指针，但没有头指针的访问权限。是否可能从链表中删除节点X？ 
A. 如果X不是最后一个节点，则可能。使用以下两步：(1) 将X的下一个节点的数据复制到X。(2) 将节点X的指针更新为下一个节点的下一个节点，并删除X的下一个节点。 
B. 如果链表的长度为偶数，则可能。 
C. 如果链表的长度为奇数，则可能。 
D. 如果X不是第一个节点，则可能。使用以下两步：(1) 将X的下一个节点的数据复制到X。(2) 删除X的下一个节点。</t>
  </si>
  <si>
    <t>在没有头节点访问权限的情况下，直接删除是不可能的，但如果 X 不是最后一个节点，我们可以将下一个节点的数据复制到 X 中，更新 X 的指针以跳过该下一个节点，并将其删除，从而有效移除 X 的原始数据。</t>
  </si>
  <si>
    <t>给定一个小型循环链表，检测该链表中循环的有效方法是什么？ 
A. 保持一个节点作为头节点，遍历另一个临时节点直到末尾，检查其“下一个”是否指向头节点 
B. 使用快慢指针，快指针每次前进两个节点，慢指针每次前进一个节点 
C. 无法确定，必须预先定义该链表是否包含循环 
D. 循环链表本身即代表一个循环，因此无法生成新的循环</t>
  </si>
  <si>
    <t>循环链表本身包含环，但问题要求一种有效的通用检测方法。弗洛伊德算法使用快慢指针；如果存在环，它们会相遇，从而实现O(n)时间复杂度和O(1)空间复杂度。</t>
  </si>
  <si>
    <t>五个项目：A、B、C、D 和 E 被依次压入栈中，从 A 开始。然后从栈中弹出四个项目，并将每个元素插入队列。接着从队列中删除两个元素并将其压回栈中。现在从栈中弹出一个项目。弹出的项目是 
A. A 
B. B 
C. C 
D. D</t>
  </si>
  <si>
    <t>在依次压入A–E后，栈被弹出四次，使B–E按顺序B、C、D、E进入队列。从队列中删除两个元素会移除B和C，接着将剩余的D和E压回栈A会使D位于栈顶，因此弹出操作得到D。</t>
  </si>
  <si>
    <t>栈A初始顺序为a、b、c，其中a位于栈顶，栈B为空。从栈A弹出一个元素后，可以选择立即打印或将其压入栈B。从栈B弹出一个元素则会直接打印。以下a、b、c的排列中，哪一个不可能作为输出序列生成？ 
A. b a c 
B. b c a 
C. c a b 
D. a b c</t>
  </si>
  <si>
    <t>序列 c a b 无法生成，因为先打印 c 后，元素 a 和 b 会以 b（顶部）然后 a（底部）的顺序被困在栈 B 中，从而无法在 b 之前打印 a。</t>
  </si>
  <si>
    <t>考虑对大小为5的栈执行以下操作： 
Push(a); Pop(); Push(b); Push(c); Pop(); Push(d); Pop(); Pop(); Push(e) 
以下哪项陈述是正确的？ 
A. 发生下溢 
B. 栈操作顺利执行 
C. 发生溢出 
D. 以上都不对</t>
  </si>
  <si>
    <t>逐步模拟操作过程，栈的大小始终未超过两个元素，在其容量五个以内，因此不会发生溢出。每次弹出操作均在非空栈上执行，因此不会发生下溢。综上，所有操作均顺利完成。</t>
  </si>
  <si>
    <t>元素 A、B、C、D、E、F 和 G 被依次压入一个栈，从 G 开始（即 G 最先被压入，然后是 F，依此类推，直到 A 最后被压入）。全部七个元素压入后，栈被弹出五次，每次弹出的元素插入一个队列。接着，从队列中删除两个元素并将它们压回栈中。最后，从栈中弹出一个元素。弹出的元素是 ________。</t>
  </si>
  <si>
    <t>将G经A推入栈后，弹出五次使A、B、C、D、E按此顺序进入队列。将A和B出队并重新压入栈后，B成为栈的新顶部，因此弹出操作得到B。</t>
  </si>
  <si>
    <t>一个定义在整数栈上的函数 f 满足以下性质：对于所有栈 S 和整数 i，f(∅) = 0，且 f(push(S, i)) = max(f(S), 0) + i。 
若栈 S 从底到顶依次包含整数 2, -3, 2, -1, 2，则 f(S) 是多少？ 
A. 6 
B. 4 
C. 3 
D. 2</t>
  </si>
  <si>
    <t>该函数从上到下处理元素，应用递推关系：从0开始，每个新元素i被加到max(当前f, 0)上。该序列依次得到2、1、3、0，最终得到2。</t>
  </si>
  <si>
    <t>考虑一个容量为 n（n ≥ 1）的栈 S。从空栈开始，我们执行 n 次入栈操作，按顺序插入自然数 1 到 n，随后执行 n 次出栈操作。每次入栈和出栈操作需要 X 秒完成。在一次操作结束与下一次操作开始之间，有 Y 秒的延迟。对于元素 m（1 ≤ m ≤ n），其栈内生存期定义为从它的入栈操作完成时刻起，到将其从 S 中移除的出栈操作开始时刻为止的时间。所有元素的平均栈内生存期是多少？ 
A. n(X + Y) 
B. 3Y + 2X 
C. n(X + Y) - X 
D. Y + 2X</t>
  </si>
  <si>
    <t>平均堆叠寿命是通过将各个堆叠寿命（构成等差数列）相加，再除以 n 得到的，结果为 n(X + Y) - X。</t>
  </si>
  <si>
    <t>A. 栈（STACKS）能高效支持先进先出（FIFO）类型的计算。
B. 对于几乎所有基本列表操作，在链表上实现列表（LISTS）比在数组上实现列表更高效。 
C. 在循环数组上实现队列（QUEUES）比在带有两个索引的线性数组上实现队列更高效。 
D. 队列（QUEUES）能高效支持后进先出（FIFO）类型的计算。</t>
  </si>
  <si>
    <t>A是错误的，因为栈支持后进先出，而非先进先出。B是错误的，因为链表并非对所有列表操作都更高效。C是正确的，因为循环数组避免了空间浪费和重新索引。D是错误的，因为队列支持先进先出，而非后进先出。</t>
  </si>
  <si>
    <t>以下哪个选项的陈述是错误的？ 
A. 如果队列用链表实现，并保留头指针，则向非空队列插入元素时只有尾指针会改变。 
B. 队列数据结构可用于实现最近最少使用（LRU）页面置换算法和快速排序算法。 
C. 队列数据结构可用于实现快速排序算法，但不能用于实现最近最少使用（LRU）页面置换算法。 
D. 选项（A）和（C）均成立。</t>
  </si>
  <si>
    <t>选项C是错误的，因为队列可以通过页帧队列实现LRU算法，但快速排序通常使用递归或栈而非队列来完成其分治过程。</t>
  </si>
  <si>
    <t>以下哪一项是队列数据结构的一种应用？ 
A. 当资源在多个消费者之间共享时。 
B. 当数据在两个进程之间异步传输时（数据接收速率不一定与发送速率相同）。 
C. 负载均衡 
D. 以上所有选项</t>
  </si>
  <si>
    <t>队列的先进先出原则对于公平管理共享资源、缓冲异步数据传输以处理速率不匹配问题，以及在负载均衡器中组织任务以实现均匀分配至关重要，这使得上述三种场景成为其关键应用领域。</t>
  </si>
  <si>
    <t>考虑一个栈，除了标准的PUSH和POP操作外，还包含一个用于反转栈中元素顺序的REVERSE操作。关于这个修改后的栈，以下哪一项陈述是正确的？ 
A. 无法使用这个栈实现队列。 
B. 可以实现队列，其中ENQUEUE操作只需一条指令，DEQUEUE操作需要两条指令序列。 
C. 可以实现队列，其中ENQUEUE操作需要三条指令序列，DEQUEUE操作只需一条指令。 
D. 可以实现队列，其中ENQUEUE和DEQUEUE操作都只需一条指令。</t>
  </si>
  <si>
    <t>队列可以实现为：ENQUEUE操作需要三个步骤（REVERSE、PUSH、REVERSE）将项目添加到底部，而DEQUEUE只需从顶部执行一次POP操作。</t>
  </si>
  <si>
    <t>以下哈希函数中，哪一个不推荐使用？ 
A. h(k) = k % m 
B. h(k) = floor(m * (k mod 1)) 
C. h(k) = k 
D. h(k) = ((k / m) + k * m) + k % m</t>
  </si>
  <si>
    <t>选项A不推荐，因为单独使用取模运算会导致聚类现象，即相似键值会产生相似的哈希值，从而增加冲突概率。其他选项采用了更复杂的函数，能使键值分布更均匀。</t>
  </si>
  <si>
    <t>考虑一个大小为七的哈希表，起始索引为零，哈希函数为 (7x+3) mod 4。假设哈希表初始为空，当序列 1, 3, 8, 10 使用闭散列法插入表后，以下哪项是表中的内容？其中“__”表示表中的空位置。 
A. 3, 10, 1, 8, __ , __ , __ 
B. 1, 3, 8, 10, __ , __ , __ 
C. 1, __ , 3, __ , 8, __ , 10 
D. 3, 10, __ , __ , 8, __ , __</t>
  </si>
  <si>
    <t>哈希函数为键1、3、8和10分别生成索引2、0、3和1，将它们按顺序3、10、1、8放置，其余槽位为空。</t>
  </si>
  <si>
    <t>给定一个具有25个槽位且存储了2000个元素的哈希表T，其负载因子α为__________</t>
  </si>
  <si>
    <t>负载因子α是存储元素与可用槽位的比率，计算为2000除以25，结果为80。</t>
  </si>
  <si>
    <t>在表大小为23的双重哈希方案中，主哈希函数为h1(k) = k mod 23，次哈希函数为h2(k) = 1 + (k mod 19)。从探查序号0开始，对于键值k = 90，探查序号1返回的地址是________。</t>
  </si>
  <si>
    <t>对于键值90，h1 = 21，h2 = 15。第一次探测的地址为 (21 + 1*15) mod 23 = 36 mod 23 = 13。</t>
  </si>
  <si>
    <t>哈希函数 h 定义为 h(键)=键 mod 7，并采用线性探测法，将键 44、45、79、55、91、18、63 插入到下标从 0 到 6 的表中。键 18 将被存放在哪个位置？ 
A. 3 
B. 4 
C. 5 
D. 6</t>
  </si>
  <si>
    <t>键18哈希到索引4，但该槽位因先前的线性探测已被79占用，因此线性探测将其移至下一个可用槽位，即索引5。</t>
  </si>
  <si>
    <t>此处展示了一个包含10个桶、每个桶有一个槽的哈希表。符号S1至S7最初通过使用线性探测的哈希函数插入。在搜索一个不存在的项时，所需的最大比较次数是 
A. 4 
B. 5 
C. 6 
D. 3</t>
  </si>
  <si>
    <t>要找到不成功搜索的最大比较次数，必须考虑所有起始点。最长的探查序列从索引8开始，需要依次检查索引8、9、0、1和2，共计五次比较。</t>
  </si>
  <si>
    <t>考虑一个包含13个元素的哈希表，其哈希函数为 f(键)=键 mod 13，键为整数。假设使用线性探测法解决冲突，若按顺序依次插入键 661、182、24 和 103，则键 103 将被插入到哪个位置？ 
A. 0 
B. 1 
C. 11 
D. 12</t>
  </si>
  <si>
    <t>键103被哈希到索引12，但该槽位已被24占用，这是由于之前在索引11发生冲突后通过线性探测占用的。使用线性探测，下一个可用槽位是索引0（已被占用），然后是索引1（空闲），因此103被插入到位置1。</t>
  </si>
  <si>
    <t>考虑一个均匀分布键的哈希函数。哈希表大小为20。在哈希了多少个键之后，新插入的键与已有键发生碰撞的概率会超过0.5？ 
A. 5 
B. 6 
C. 7 
D. 10</t>
  </si>
  <si>
    <t>插入 \(x\) 个键后，下一个键发生碰撞的概率为 \(x/20\)。令 \(x/20 = 0.5\) 得 \(x = 10\)，因此在插入 10 个键后概率超过 0.5。</t>
  </si>
  <si>
    <t>以下哪项陈述是正确的？ 
1. 哈希函数接收任意长度的消息，生成固定长度的代码。 
2. 哈希函数接收固定长度的消息，生成可变长度的代码。 
3. 哈希函数可能为不同的消息生成相同的哈希值。 
A. 仅 I 
B. 仅 II 和 III 
C. 仅 I 和 III 
D. 仅 II</t>
  </si>
  <si>
    <t>哈希函数将任意长度的输入映射为固定长度的输出，因此陈述1正确。陈述3同样正确，因为当不同的输入产生相同的哈希值时就会发生碰撞，这是固定长度输出映射的固有特性。</t>
  </si>
  <si>
    <t>考虑一个包含八个整数的数组正在用堆排序进行排序。在完成若干次堆化操作（可能是大顶堆化或小顶堆化）后，数组中的值为：16, 14, 15, 10, 12, 27, 28。此时已经对堆的根节点执行了多少次堆化操作？ 
A. 1 
B. 2 
C. 3 或 4 
D. 5 或 6</t>
  </si>
  <si>
    <t>在堆排序中，建立最大堆后，通过将根节点与最后一个元素交换，将最大元素移至末尾，然后对根节点进行堆化。两个最大值 27 和 28 已在末尾；恰好已执行了两次这样的根节点堆化操作。</t>
  </si>
  <si>
    <t>考虑一个包含1023个元素的二叉最小堆的数组表示。在该堆中找出最大值所需的最少比较次数是 _________ 。</t>
  </si>
  <si>
    <t>在最小堆中，最大元素必然位于叶节点中。当堆中有1023个元素时，共有512个叶节点。在这些叶节点中寻找最大值需要进行511次比较。</t>
  </si>
  <si>
    <t>以下二叉最小堆操作中，哪个具有最高的时间复杂度？ 
A. 在假设堆有容量容纳一个额外元素的情况下插入一项 
B. 在假设堆有容量容纳另一堆中所有元素的情况下与另一堆合并 
C. 从堆中删除一项 
D. 减小某个键的值</t>
  </si>
  <si>
    <t>合并两个二叉堆需要整合所有元素，其时间复杂度为O(n)，而插入、删除和键值减少操作的时间复杂度均为O(log n)，因此合并是最复杂的操作。</t>
  </si>
  <si>
    <t>考虑一个用数组实现的二叉最大堆。以下哪个数组表示一个二叉最大堆？ 
A. 25,12,16,8,10,13,14 
B. 25,12,16,13,10,8,14 
C. 25,14,16,13,10,8,12 
D. 25,14,12,13,10,8,16</t>
  </si>
  <si>
    <t>一个二叉最大堆要求每个节点都大于或等于其子节点。对于数组A，所有节点都满足这一条件：25≥12,16；12≥8,10；16≥13,14。数组C也满足：25≥14,16；14≥13,10；16≥8,12。数组B和D不满足，因为在B中16的子节点14更大，在D中12的子节点16更大。</t>
  </si>
  <si>
    <t>列出定义最大堆的两个属性。</t>
  </si>
  <si>
    <t>1. 堆性质：对于每个节点i（除根节点外），节点的值小于或等于其父节点的值。 
2. 形状性质：该树是一棵完全二叉树（除最后一层外，所有层都被完全填满，且最后一层的节点从左到右填充）。</t>
  </si>
  <si>
    <t>最大堆的定义包含两个特性：它是一棵完全二叉树，并且每个节点的值都大于或等于其子节点的值，从而确保最大值位于根节点。</t>
  </si>
  <si>
    <t>计算一个存储1000个键的最大堆的高度。</t>
  </si>
  <si>
    <t>9 或 10</t>
  </si>
  <si>
    <t>高度为9，如果从根到叶按边数计算，因为 \( \lfloor \log_2 1000 \rfloor = 9 \)；如果按层数计算且根位于第1层，则为10。</t>
  </si>
  <si>
    <t>描述AVL树满足的两个性质。</t>
  </si>
  <si>
    <t>1. 高度平衡性质：对于每个节点，其左子树和右子树的高度差最多为1。 
2. 二叉搜索树性质：对于每个节点，其左子树中的所有键值均小于该节点的键值，右子树中的所有键值均大于该节点的键值。</t>
  </si>
  <si>
    <t>AVL树是一种二叉搜索树，其中每个节点的左子树和右子树的高度差至多为1，从而确保平衡结构和O(log n)的操作复杂度。</t>
  </si>
  <si>
    <t>在数据库系统中，什么是逻辑数据独立性？</t>
  </si>
  <si>
    <t>逻辑数据独立性是指数据库系统的一种特性，它允许对概念模式进行修改——例如添加或拆分表、更改关系或规范化结构——而无需更改现有的外部视图或应用程序，只要这些视图所需的数据仍然可访问。</t>
  </si>
  <si>
    <t>逻辑数据独立性允许对概念模式进行更改，例如修改表结构，而不影响外部应用程序视图，只要它们所需的数据保持可访问性。</t>
  </si>
  <si>
    <t>描述逻辑数据独立性与物理数据独立性之间的区别。</t>
  </si>
  <si>
    <t>逻辑保护防止逻辑变更（例如规范化）；物理保护防止存储变更（例如文件组织、索引）。</t>
  </si>
  <si>
    <t>逻辑数据独立性保护应用程序免受逻辑模式变化的影响，而物理数据独立性则保护应用程序免受物理存储结构变化的影响。</t>
  </si>
  <si>
    <t>_______ 表示关系及其属性的名称。</t>
  </si>
  <si>
    <t>架构／模式</t>
  </si>
  <si>
    <t>关系模式定义表的名称及其列结构，从而将其与数据实例或更广泛的数据库模式区分开来。</t>
  </si>
  <si>
    <t>复合键是______列的组合。</t>
  </si>
  <si>
    <t>两个或更多</t>
  </si>
  <si>
    <t>复合键结合两个或多个列，在单列不足以唯一标识表行时，用于唯一标识表中的行。</t>
  </si>
  <si>
    <t>给定学生表（ID，姓名，GPA，系代码）和系表（代码，名称，地点），其中系代码是系表的外键，请编写一条SQL语句，找出所有GPA不低于3.5的学生的ID和姓名。</t>
  </si>
  <si>
    <t>该查询从学生表中选择ID和姓名，条件是GPA不低于3.5，由于所需数据均存在于该表中，因此指向部门表的外键与此无关。</t>
  </si>
  <si>
    <t>给定学生表（ID，姓名，GPA，院系代码）和院系表（代码，名称，地点），其中院系代码是院系表的外键，请写出关系代数表达式，以查找所在院系位于“T楼”的所有学生的ID。</t>
  </si>
  <si>
    <t>π_ID(σ_位置="T楼"(学生 ⨝_系代码=代码 系))</t>
  </si>
  <si>
    <t>该表达式通过DepCode=Code连接Student和Department表，选择Location为"Building T"的行，并投影ID属性以输出学生ID。</t>
  </si>
  <si>
    <t>考虑图书馆数据库中的以下关系： 
Library (ID*, Name, Street, City); 
Book (ID*, Name, Publisher, Author, Pages); 
Stock (BookID*, LibraryID*, Quantity); 
主键为 *。 
Stock 关系中的 BookID 和 LibraryID 分别是引用 Book 和 Library 关系的外键。 
写出关系代数表达式，以获取由 Mark Twain 所著且页数超过 300 页的图书的 ID。</t>
  </si>
  <si>
    <t>π_{ID}(σ_{Author='马克·吐温' ∧ Pages&gt;300}(Book))</t>
  </si>
  <si>
    <t>该查询从Book关系中选取马克·吐温所著且页数超过300的书籍，并投影其ID。由于所有所需属性均在Book表中，因此无需进行连接操作。</t>
  </si>
  <si>
    <t>考虑图书馆数据库中的以下关系： 
Library (ID*, Name, Street, City); 
Book (ID*, Name, Publisher, Author, Pages); 
Stock (BookID*, LibraryID*, Quantity); 
主键为 *。 
Stock 关系中的 BookID 和 LibraryID 分别是引用 Book 和 Library 关系的外键。 
写出关系代数表达式，以获取在库存中没有任何书籍数量超过 10 的图书馆的 ID。</t>
  </si>
  <si>
    <t>π_{图书馆.编号} (图书馆) − π_{图书馆编号} (σ_{数量 &gt; 10} (库存))</t>
  </si>
  <si>
    <t>该表达式查找所有图书馆ID，并减去那些存在库存数量超过10的记录，从而保留所有馆藏图书数量均≤10或完全无库存的图书馆。</t>
  </si>
  <si>
    <t>考虑图书馆数据库中的以下关系： 
Library (ID*, Name, Street, City); 
Book (ID*, Name, Publisher, Author, Pages); 
Stock (BookID*, LibraryID*, Quantity); 
主键为 *。 
Stock 关系中的 BookID 和 LibraryID 分别是引用 Book 和 Library 关系的外键。 
编写一条 SQL 语句，获取库存中拥有图书（ID = 12345）的图书馆数量超过 10 个的城市。</t>
  </si>
  <si>
    <t>```sql
SELECT L.City 
FROM Library L 
JOIN Stock S ON L.ID = S.LibraryID 
WHERE S.BookID = 12345 
GROUP BY L.City 
HAVING COUNT(DISTINCT L.ID) &gt; 10;
```</t>
  </si>
  <si>
    <t>该SQL查询通过连接Library和Stock表，将城市与图书库存情况关联，筛选图书ID为12345的记录，按城市分组，并使用HAVING COUNT(DISTINCT L.ID) &gt; 10的条件找出库存该图书的图书馆数量超过10个的城市。</t>
  </si>
  <si>
    <t>考虑图书馆数据库中的以下关系： 
Library (ID*, Name, Street, City); 
Book (ID*, Name, Publisher, Author, Pages); 
Stock (BookID*, LibraryID*, Quantity); 
主键为 *。 
Stock 关系中的 BookID 和 LibraryID 分别是引用 Book 和 Library 关系的外键。 
编写一条 SQL 语句，获取库存中包含所有书籍的图书馆名称。</t>
  </si>
  <si>
    <t>```sql
SELECT L.Name 
FROM Library L 
WHERE NOT EXISTS (
SELECT B.ID 
FROM Book B 
WHERE NOT EXISTS (
SELECT S.BookID 
FROM Stock S 
WHERE S.BookID = B.ID 
AND S.LibraryID = L.ID
)
);
```</t>
  </si>
  <si>
    <t>该查询使用双重NOT EXISTS来查找没有缺失书籍的图书馆：针对每个图书馆，它检查是否存在任何不在其馆藏中的书籍，仅当未找到此类书籍时才选择该图书馆。</t>
  </si>
  <si>
    <t>请说明在数据仓库环境中使用列式设计的两个优势。</t>
  </si>
  <si>
    <t>提升分析工作负载的查询性能并增强数据压缩能力。</t>
  </si>
  <si>
    <t>列式存储通过仅读取所需列来减少I/O，从而提升分析查询性能。同时，由于数据类型一致，它还能增强压缩效果，进一步降低存储需求和I/O开销。</t>
  </si>
  <si>
    <t>即使其中一个工作节点发生故障，MapReduce作业仍将完成。</t>
  </si>
  <si>
    <t>MapReduce的容错机制允许主节点将故障工作节点的任务重新分配给其他节点，从而确保在正常情况下作业能够完成。</t>
  </si>
  <si>
    <t>即使主节点发生故障，MapReduce作业仍将完成。</t>
  </si>
  <si>
    <t>主节点是单点故障；其永久性故障将导致作业协调停止，需要重启系统。</t>
  </si>
  <si>
    <t>映射工作器将结果直接发送给规约工作器。</t>
  </si>
  <si>
    <t>Map工作者将中间结果写入本地磁盘，供后续工作者拉取，而非直接发送。</t>
  </si>
  <si>
    <t>如果有M个映射任务，使用超过M个映射工作器可能会提升MapReduce的性能。</t>
  </si>
  <si>
    <t>使用超过M个工人可以通过减轻现实世界系统中的掉队者和故障来提高性能。</t>
  </si>
  <si>
    <t>在“无信息”情况下（即下属向协调者询问协调者没有相关信息的交易结果时），运行假定中止版本的两阶段提交（2PC）的协调者会向下属返回与基础2PC中相同的响应。</t>
  </si>
  <si>
    <t>两个版本均在协调器缺少事务信息时响应“ABORT”。</t>
  </si>
  <si>
    <t>假定提交协议与基本两阶段提交相比，在事务成功提交时减少了协调器所需的强制写入次数。</t>
  </si>
  <si>
    <t>该陈述是错误的，因为假定提交需要两次强制写入来完成提交，而基本的二阶段提交仅需要一次。</t>
  </si>
  <si>
    <t>假定中止协议与基本两阶段提交相比，减少了协调器在事务中止时所需的强制写入次数。</t>
  </si>
  <si>
    <t>假定中止通过允许协调器跳过记录中止决策，减少了强制写入，这与记录提交和中止两种决策的基本两阶段提交不同。</t>
  </si>
  <si>
    <t>在基本的2PC中，假设协调者或从属节点均未发生故障，投票中止事务T的从属节点将不再收到与T相关的任何消息。</t>
  </si>
  <si>
    <t>在基础两阶段提交中，一个从属节点投票中止将导致全局中止，且该从属节点不会收到关于事务T的进一步消息。</t>
  </si>
  <si>
    <t>以下SQL查询旨在计算每个售出地块的平均每平方英尺价格。对于任何多次售出的地块，我们希望计算其平均每平方英尺价格。然而，该查询执行时出现错误。此错误为何会发生？
SELECT p.parcelid, count(*), s.sprice/sum(p.sqft)
FROM parcels p, sales s
WHERE p.parcelid = s.parcelid
GROUP BY p.parcelid
ORDER BY count(*) DESC;</t>
  </si>
  <si>
    <t>错误发生的原因是`s.sprice`既未包含在`GROUP BY`子句中，也未与聚合函数一起使用，而`sum(p.sqft)`作为聚合函数，在未分组的情况下不能直接与非聚合列共同使用。</t>
  </si>
  <si>
    <t>错误发生的原因是`s.sprice`既未包含在`GROUP BY`子句中，也未与聚合函数一起使用，这违反了分组查询的SQL规则。</t>
  </si>
  <si>
    <t>以下SQL查询旨在计算每个售出地块的每平方英尺平均价格。对于任何多次售出的地块，我们希望计算其每平方英尺平均价格。然而，该查询执行报错。请修正查询以获得正确结果。
SELECT p.parcelid, count(*), s.sprice/sum(p.sqft)
FROM parcels p, sales s
WHERE p.parcelid = s.parcelid
GROUP BY p.parcelid
ORDER BY count(*) DESC;</t>
  </si>
  <si>
    <t>原查询错误地将单个销售价格除以总面积，导致聚合不匹配。修正后的查询在连接表格并按地块ID分组后，使用 `AVG(s.sprice / p.sqft)` 计算每个地块每次销售的每平方英尺平均价格。</t>
  </si>
  <si>
    <t>用几句话描述一对一、一对多和多对多关系之间的主要区别。在设计关系型数据库时，通常如何处理多对多关系？</t>
  </si>
  <si>
    <t>在一对一关系中，一个表中的每条记录最多与另一个表中的一条记录关联；在一对多关系中，一个表中的一条记录可以关联到另一个表中的多条记录，反之则不行；在多对多关系中，两个表中的记录都可以关联到另一个表中的多条记录。多对多关系通常通过创建一个连接表（关联实体）来处理，该表包含引用两个原始表的外键，从而将关系拆分为两个一对多关系。</t>
  </si>
  <si>
    <t>一对一关系连接单个记录；一对多关系将一个记录连接到多个记录；多对多关系则双向连接。为处理多对多关系，需创建包含外键的联结表，将其拆分为两个一对多关系。</t>
  </si>
  <si>
    <t>Alpha-beta剪枝算法能否推广为对博弈树进行广度优先探索，同时仍能获得最优解？请解释其原理或原因。若可以推广，请说明在此应用中使用广度优先搜索的任何优势或劣势。</t>
  </si>
  <si>
    <t>不，α-β剪枝无法在保持最优性和效率的前提下，有效推广到纯粹的广度优先探索中。</t>
  </si>
  <si>
    <t>Alpha-beta剪枝需要深度优先遍历来传播边界并及早剪枝；广度优先搜索在深入探索前无法建立有效边界，从而丧失剪枝效率，退化为暴力搜索的复杂度。</t>
  </si>
  <si>
    <t>Alpha-beta剪枝算法能否推广到对博弈树进行渐进式深度探索，并仍能获得最优解？请解释其原理或原因。如果可以推广，请说明在此应用中使用渐进式深度搜索的任何优势或劣势。</t>
  </si>
  <si>
    <t>是的，alpha-beta剪枝可以推广至与渐进加深结合使用。</t>
  </si>
  <si>
    <t>是的，alpha-beta剪枝可以与渐进深化结合，通过执行一系列固定深度的搜索来实现。这使得随时决策成为可能，并通过早期迭代中更好的走子排序来提高剪枝效率，尽管这会引入一定的计算开销。</t>
  </si>
  <si>
    <t>考虑一个路径搜索问题，其特点是分支因子极高，且已知解由相对较短的动作序列构成（具体长度未给出）。每个动作的成本相同。哪种搜索算法适合寻找最优解？请说明在何种情况下（如果有的话）使用已访问列表或扩展列表会带来好处。</t>
  </si>
  <si>
    <t>广度优先搜索（BFS）或迭代加深搜索（IDS），实践中常更倾向于使用IDS。如果状态空间不是树结构（即包含循环或重复状态）且内存条件允许，使用已访问/已扩展列表是有益的。</t>
  </si>
  <si>
    <t>BFS或IDS对于均匀成本的最短解是最优的；IDS在高分支情况下节省内存。如果内存允许，访问列表有助于避免图空间中的循环。</t>
  </si>
  <si>
    <t>在一个分类任务中，训练样本约为100万个，特征空间为6维，而测试实例仅有100个，哪种学习算法最合适？请说明选择理由。</t>
  </si>
  <si>
    <t>线性SVM采用随机梯度下降（SGD）或可扩展的线性模型（例如使用SGD的逻辑回归）。</t>
  </si>
  <si>
    <t>使用随机梯度下降的线性模型能高效扩展到100万个训练样本（6维），避免了非线性方法的计算成本，同时在此低维数据上具有良好的泛化能力。</t>
  </si>
  <si>
    <t>对于以下每种学习情境，请说明最适合使用哪种学习算法，并解释原因。你需要开发一个分类器，用于推荐哪些儿童应在幼儿园阶段被分配至特殊教育班级。该分类器在实施前必须向教育委员会提供合理依据。</t>
  </si>
  <si>
    <t>决策树算法（如CART或ID3）将是最佳选择。</t>
  </si>
  <si>
    <t>决策树是最佳选择，因为它能提供清晰、可解释的规则，便于向董事会说明理由，同时能处理混合数据类型，并允许进行审计以确保在此高风险情境下的公平性。</t>
  </si>
  <si>
    <t>给定以下学习场景，请指出哪种算法最合适并解释理由。你受雇于一家旨在主导零售业的大型电子商务公司。你的任务是根据一个代表所有其他顾客对某本书偏好的100万位输入向量，预测特定顾客对该书的喜好程度。你将使用一个大规模数据集训练分类器，其中输入是每本书的集体偏好数据，输出是目标顾客的偏好。该分类器必须支持在获得新数据时进行频繁且高效的更新。</t>
  </si>
  <si>
    <t>在线学习算法（例如，采用线性或神经网络模型的随机梯度下降法）。</t>
  </si>
  <si>
    <t>在线算法（如SGD）能够随着每个新数据点的到来高效地增量更新模型，从而无需耗费大量资源进行完整重训练即可处理大规模高维数据集。</t>
  </si>
  <si>
    <t>对于以下每种学习情境，请说明最适合使用哪种学习算法，并解释原因。你需要根据过去六个月太平洋洋流和海潮的测量数据，预测加利福尼亚州的平均降雨量。</t>
  </si>
  <si>
    <t>线性回归或时间序列预测模型（例如ARIMA、LSTM）将是最佳选择。</t>
  </si>
  <si>
    <t>根据过去海洋数据预测连续降雨是一项具有时间依赖性的回归任务，线性回归适用于线性关系，而ARIMA/LSTM等时间序列模型则适合捕捉序列模式。</t>
  </si>
  <si>
    <t>关于机器学习中的训练集、验证集和测试集，以下哪项陈述是正确的？ 
A. 训练集用于评估模型的最终性能。 
B. 验证集用于调整超参数并防止过拟合。 
C. 测试集用于在训练期间调整模型的权重。 
D. 验证集和测试集始终是相同的数据。 
E. 训练集应小于测试集以确保评估的准确性。</t>
  </si>
  <si>
    <t>验证集用于超参数调整和检测过拟合。训练集用于拟合模型参数，测试集用于评估最终性能，这些数据集相互独立，通常训练集的规模最大。</t>
  </si>
  <si>
    <t>以下哪项陈述正确描述了机器学习模型中L1正则化和L2正则化的一个关键区别？ 
A. L1正则化倾向于通过将部分权重直接压缩至零来产生稀疏模型，而L2正则化倾向于缩小权重但很少使其精确为零。 
B. L2正则化比L1正则化在特征选择上更有效。 
C. L1正则化惩罚权重的平方，而L2正则化惩罚权重的绝对值。 
D. L1正则化和L2正则化总会得到完全相同的模型系数。 
E. L1正则化仅适用于线性回归，而L2正则化仅适用于逻辑回归。</t>
  </si>
  <si>
    <t>L1正则化通过将部分权重驱动至零以实现稀疏性，有助于特征选择；而L2正则化则平滑地压缩权重，通常不会使其归零。</t>
  </si>
  <si>
    <t>关于装袋法和提升法，以下哪项陈述是正确的？ 
A. 装袋法总是减少偏差。 
B. 提升法持续降低偏差。 
C. 装袋法和提升法都能减少方差。 
D. A和C都正确。 
E. B和C都正确。</t>
  </si>
  <si>
    <t>Boosting通过顺序纠正误差来减少偏差，而两种方法都通过集成平均来降低方差，因此B和C正确。</t>
  </si>
  <si>
    <t>________试图模仿大脑的工作和学习方式，在输入和输出之间设置多个节点，并通过程序在这些节点之间建立连接。</t>
  </si>
  <si>
    <t>神经网络</t>
  </si>
  <si>
    <t>神经网络通过使用输入和输出之间的互连节点来模拟大脑学习过程，通过训练调整连接强度以识别模式。</t>
  </si>
  <si>
    <t>机器必须具备相应的结构，使其能够获取、构建和理解语言。为此，程序会使用以下操作： 
A. 文本分析 
B. 词频统计 
C. 词干提取 
D. 情感分析</t>
  </si>
  <si>
    <t>词干提取将词语还原为其词根形式，这是一种基础预处理步骤，能简化语言数据以便机器获取和理解，这与文本分析或情感分析等更高层次的分析不同。</t>
  </si>
  <si>
    <t>______________ 是指从图像和视频中提取有意义的数据以完成特定任务的过程。</t>
  </si>
  <si>
    <t>计算机视觉</t>
  </si>
  <si>
    <t>计算机视觉是人工智能的一个领域，计算机通过解读图像和视频来提取有意义的数据，从而实现物体识别或自主导航等任务。</t>
  </si>
  <si>
    <t>______________ 是一种层次聚类技术，其中每个数据点最初作为独立簇存在，随后基于距离迭代合并簇，直至仅剩一个簇。</t>
  </si>
  <si>
    <t>凝聚聚类</t>
  </si>
  <si>
    <t>凝聚聚类是一种自下而上的层次化方法，其中每个点初始作为独立簇，随后反复合并最接近的簇，直至仅剩一个簇为止。</t>
  </si>
  <si>
    <t>在基于密度的聚类中，位于边界上的点被称为______________。</t>
  </si>
  <si>
    <t>边界点</t>
  </si>
  <si>
    <t>在基于密度的聚类中，位于聚类边缘的点被称为边界点，因为它们位于核心点的ε半径范围内，但自身缺乏足够的邻近点以成为核心点。</t>
  </si>
  <si>
    <t>从以下列表中找出关于狭义人工智能的错误陈述： 
A. 狭义人工智能是目前唯一存在的人工智能类型。 
B. 像Siri和Cortana这样的“个人助手”使用的是狭义人工智能。 
C. 狭义人工智能机器不具备自我意识，但具有自我保护能力。 
D. 狭义人工智能程序包括电子邮件收件箱中的垃圾邮件过滤器、面部识别软件、亚马逊、Netflix、谷歌广告等提供的推荐系统等。 
E. 狭义人工智能专为特定功能而设计，会严格按照编程执行，除非被重新编程或更新，否则不会发生变化。</t>
  </si>
  <si>
    <t>狭义人工智能缺乏自我意识和自我保存能力，而这些是理论通用人工智能的特征，因此陈述C不正确。</t>
  </si>
  <si>
    <t>_____________ 即理解和分类非结构化文本的自动化过程。</t>
  </si>
  <si>
    <t>自然语言处理（NLP）</t>
  </si>
  <si>
    <t>自然语言处理（NLP）是运用计算方法自动解释和分类非结构化文本的领域，例如通过分类或情感分析实现。</t>
  </si>
  <si>
    <t>_______________ 是对文本进行分析和分类，以揭示关于特定主题的情感、观点等主观信息。</t>
  </si>
  <si>
    <t>情感分析</t>
  </si>
  <si>
    <t>情感分析是自然语言处理中的一项任务，它通过文本分类来识别主观情感与观点，从而区别于客观的文本分析方法。</t>
  </si>
  <si>
    <t>以下哪一项/哪些是减少偏见的方法？ 
A. 制定避免和消除偏见数据选择的指南，并在偏见发生时予以记录，以便识别和缓解。 
B. 在投入生产前测试和评估学习模型。 
C. 制定选择准确且具代表性数据的计划。审查数据选择领域的性质，以理解选择干净数据的最佳方式。 
D. 保持数据选择过程和数据清洗的私密性。公开此过程以供外部审查会导致偏见数据。 
E. 识别潜在的数据偏见来源、选择及风险。消除或缓解偏见数据。</t>
  </si>
  <si>
    <t>A、B、C和E通过建立透明准则、部署前测试模型、规划代表性数据以及识别偏见来源来减少偏见。D则因将过程隐藏于外部审查之外而增加偏见。</t>
  </si>
  <si>
    <t>以下哪个术语描述了一种旨在以加速方式像人类一样学习的计算机系统，能够处理预编程信息和新数据，通过独立解释、做出决策并相应采取行动？ 
A. 深度学习 
B. 人工智能 
C. 认知计算 
D. 大语言模型</t>
  </si>
  <si>
    <t>认知计算特指那些通过处理预设程序和新数据来像人类一样学习的系统，它们能够独立解读信息并做出决策，这与所给定义相符。</t>
  </si>
  <si>
    <t>解释判别式人工智能与生成式人工智能之间的区别，并举例说明。</t>
  </si>
  <si>
    <t>判别式AI模型从数据中分类或预测标签（例如垃圾邮件检测），而生成式AI模型则创建与训练数据相似的新数据（例如文本或图像生成）。</t>
  </si>
  <si>
    <t>判别式AI对现有数据进行分类（例如垃圾邮件过滤器），而生成式AI则创造新数据（例如文本生成）。判别式模型学习决策边界，而生成式模型学习数据分布以产生新颖输出。</t>
  </si>
  <si>
    <t>解释分类与聚类的区别，并举例说明。</t>
  </si>
  <si>
    <t>分类是一种监督学习方法，它为数据点分配预定义的标签；而聚类是一种无监督学习方法，它根据数据点内在的相似性进行分组，无需预定义标签。</t>
  </si>
  <si>
    <t>分类使用标记数据来分配预定义类别，例如垃圾邮件检测；而聚类则根据相似性对未标记数据进行分组，例如客户细分，无需预先标记。</t>
  </si>
  <si>
    <t>解释约束满足问题中最受限制变量和最少限制值之间的区别，并使用示例说明？</t>
  </si>
  <si>
    <t>最受约束变量（MCV）优先选择剩余合法值最少的变量以减少分支，而最少约束值（LCV）则选择在赋值后能为后续赋值保留最大灵活性的值。</t>
  </si>
  <si>
    <t>最具约束变量（MCV）选择合法值最少的变量以减少分支，而最少约束值（LCV）选择对其他变量施加最少约束的值以保留未来选项。</t>
  </si>
  <si>
    <t>比较前向链与后向链的区别，并提供示例说明每种方法。</t>
  </si>
  <si>
    <t>前向链接是一种数据驱动的推理方法，它从已知事实出发，应用规则推导出新事实，直至达成目标；而后向链接是一种目标驱动的方法，它从假设出发，通过规则反向追溯以寻找支持性事实。</t>
  </si>
  <si>
    <t>前向链推理从已知事实出发，应用规则以达到目标；而后向链推理则从目标开始，反向寻找支持性事实。</t>
  </si>
  <si>
    <t>评估监督学习模型的常规步骤有哪些，以及回归任务中常用的两种评估指标是什么？</t>
  </si>
  <si>
    <t>评估监督学习模型的常规步骤包括：将数据划分为训练集和测试集，在训练集上训练模型，在测试集上进行预测，然后计算评估指标。回归任务中两种常见的评估指标是平均绝对误差（MAE）和均方根误差（RMSE）。</t>
  </si>
  <si>
    <t>为了评估监督学习模型，需将数据划分为训练集和测试集，训练模型后进行预测并计算指标。对于回归问题，常用指标包括平均绝对误差（MAE）和均方根误差（RMSE），它们用于衡量预测误差的平均水平。</t>
  </si>
  <si>
    <t>解释装袋法（bagging）与提升法（boosting）在概念上的相似之处与不同之处，并分别详细说明至少两个关键点。</t>
  </si>
  <si>
    <t>Bagging和Boosting都是集成方法，通过组合多个基模型来提升预测性能，但它们在构建和加权模型的方式上存在根本差异。 
相似点： 
1. 两者都使用多个弱学习器（如决策树）来构建更强的集成模型。 
2. 两者都旨在相比单一模型减少方差和/或偏差，尽管其主要目标不同。 
差异点： 
1. 训练方式：Bagging在数据随机子集（有放回）上独立训练模型，而Boosting按顺序训练模型，每个模型专注于前一个模型的误差。 
2. 模型加权：Bagging通常对所有模型赋予相等权重（如取平均），而Boosting对序列中表现更好的模型赋予更高权重。</t>
  </si>
  <si>
    <t>两者都通过结合多个弱学习器来提升预测效果。Bagging 在随机数据子集上独立训练模型，通过平均结果来降低方差。Boosting 则顺序训练模型，通过加权调整以修正误差并降低偏差。</t>
  </si>
  <si>
    <t>对于两种监督学习模型，即多层感知机（MLP）和k近邻（kNN），请评述它们处理含噪声数据集的能力。说明如何通过控制每种模型来抑制噪声数据的影响。</t>
  </si>
  <si>
    <t>MLP可以通过正则化和架构选择来抑制噪声，而kNN则能通过距离加权和增加k值来缓解噪声影响，但两者都存在固有的权衡。</t>
  </si>
  <si>
    <t>MLP通过正则化和架构约束抑制噪声，平滑学习到的函数。kNN通过增加k值和使用距离加权来缓解噪声，通过对邻居进行平均以稀释局部噪声，两种方法均涉及偏差-方差权衡。</t>
  </si>
  <si>
    <t>卷积神经网络模型与自编码器模型的主要区别是什么？请分别列举这两种模型的一个应用实例。</t>
  </si>
  <si>
    <t>卷积神经网络（CNNs）主要设计用于监督任务，如图像分类，通过卷积层提取空间特征；而自编码器是无监督模型，专注于学习高效的数据编码，通常用于降维或去噪等任务。应用示例：CNN——图像识别（例如照片中的人脸识别）；自编码器——网络安全中的异常检测（例如识别数据流量中的异常模式）。</t>
  </si>
  <si>
    <t>CNNs是用于图像分类等任务的监督模型，通过卷积层提取空间特征。Autoencoders是无监督模型，学习数据的压缩表示，适用于异常检测等应用。</t>
  </si>
  <si>
    <t>凝聚层次聚类和k近邻方法分别是无监督学习和有监督学习中常用的模型。思考如何将它们结合起来，以在有监督学习任务中实现更好的性能，无论是在准确性还是效率方面。</t>
  </si>
  <si>
    <t>将凝聚层次聚类与k近邻算法相结合，通过聚类对数据进行预处理——例如生成原型、降低噪声或构建搜索空间结构——从而提升KNN的准确性、效率或同时改善两者。</t>
  </si>
  <si>
    <t>将凝聚聚类与KNN结合，通过聚类对数据进行预处理——生成原型、过滤噪声或构建搜索结构，从而降低计算成本，并能在监督任务中提升分类准确率。</t>
  </si>
  <si>
    <t>阐述监督学习、无监督学习和强化学习在训练数据需求方面的差异。针对这三类机器学习方法，分别列举一种传统算法或模型以及一种深度学习算法或模型。</t>
  </si>
  <si>
    <t>监督学习需要带标签的输入-输出数据对；无监督学习使用未标注的数据；强化学习依赖于智能体与环境交互并接收奖励信号。 
传统算法： 
- 监督学习：决策树 
- 无监督学习：K均值聚类 
- 强化学习：Q学习 
深度学习算法： 
- 监督学习：卷积神经网络（CNN） 
- 无监督学习：自编码器 
- 强化学习：深度Q网络（DQN）</t>
  </si>
  <si>
    <t>监督学习使用标注数据，无监督学习使用未标注数据，强化学习通过智能体与环境交互进行学习。传统方法示例包括决策树、K均值聚类和Q学习；深度学习方法示例包括卷积神经网络、自编码器和深度Q网络。</t>
  </si>
  <si>
    <t>从输出结果的角度，评述监督学习、无监督学习和强化学习之间的差异。</t>
  </si>
  <si>
    <t>监督学习输出对已知标签/值的预测，无监督学习输出无预定义标签情况下发现的模式或分组，而强化学习则输出通过交互最大化累积奖励的动作策略。</t>
  </si>
  <si>
    <t>监督学习预测已知标签，无监督学习在没有标签的情况下发现模式，强化学习则通过交互学习行动策略以最大化奖励。</t>
  </si>
  <si>
    <t>关于回归树，以下哪项陈述不正确？ 
A. 它可以用于包含100万条记录的数据集，其中每条记录具有不同的回归值。 
B. 对于未见数据，它可能生成不确定的回归值。 
C. 它也可以通过剪枝来提升对未见数据的回归效果。 
D. 以上皆不正确</t>
  </si>
  <si>
    <t>回归树总是为任何输入分配一个确定的值（叶节点平均值），这使得陈述B为假。陈述A和C分别关于可扩展性和剪枝的描述是正确的。</t>
  </si>
  <si>
    <t>简要描述自编码器在有监督学习任务和无监督学习任务中的用途。</t>
  </si>
  <si>
    <t>在监督学习中，自动编码器用于分类/回归前的降维或特征提取；在无监督学习中，它们用于无标签情况下的表示学习、异常检测或数据生成。</t>
  </si>
  <si>
    <t>自动编码器在监督任务（如分类）中降低数据维度，在无监督场景下，它们无需标签即可学习用于异常检测或数据生成的表示。</t>
  </si>
  <si>
    <t>广度优先搜索有哪些优点？</t>
  </si>
  <si>
    <t>广度优先搜索不会陷入探索死胡同的困境。这与深度优先搜索形成对比，后者可能会长时间甚至永远沿着一条无果的路径前进，直到该路径最终终止于一个没有后继状态的位置。如果存在解决方案，广度优先搜索保证能找到它。此外，如果存在多个解决方案，则一定能找到最小化解。</t>
  </si>
  <si>
    <t>广度优先搜索保证在存在解的情况下找到解，并通过逐层探索所有节点来获得最短路径，避免了在死胡同中无限探索的风险。</t>
  </si>
  <si>
    <t>简要解释dropout如何提高深度神经网络的泛化能力，并讨论其在自编码器中应用的适用性。</t>
  </si>
  <si>
    <t>Dropout通过防止训练过程中神经元的共同适应来提升泛化能力，使网络更具鲁棒性；它主要适用于自编码器的编码器部分以防止过拟合，但在需要保证重建保真度的解码器中则较少使用。</t>
  </si>
  <si>
    <t>Dropout通过随机失活神经元来提升泛化能力，减少神经元间的共适应和过拟合。对于自编码器，它适用于编码器以正则化特征，但通常在解码器中避免使用，以保持重建精度。</t>
  </si>
  <si>
    <t>简要描述数据增强如何提升分层神经网络的泛化能力。数据增强是否适用于非图像数据（如文本）？如果适用，请举例说明如何对文本数据实施数据增强。</t>
  </si>
  <si>
    <t>数据增强通过标签保持变换人为扩展训练数据集，从而提升泛化能力，这有助于减少过拟合并促使模型学习更鲁棒的特征。该方法同样适用于文本等非图像数据，例如在文本数据中可采用同义词替换，即在保持原意的前提下将随机词汇替换为其同义词。</t>
  </si>
  <si>
    <t>数据增强通过使用标签保持变换扩展训练数据来提升泛化能力，减少过拟合。对于文本，同义词替换在保持语义不变的前提下将词语替换为其同义词。</t>
  </si>
  <si>
    <t>简要描述装袋法（bagging）与偏差-方差权衡中的方差之间的关系。提升法（boosting）与偏差-方差权衡中的偏差有何关联？并进一步评论它们在避免过拟合方面的能力。</t>
  </si>
  <si>
    <t>Bagging通过平均多个基于自助采样训练的模型来降低方差，从而稳定预测并缓解过拟合。Boosting通过顺序修正弱学习器的误差来降低偏差，从而提升模型拟合度，但若不进行正则化则可能增加方差并导致过拟合。两种集成方法均能提升泛化能力，但Bagging因聚合机制本质上对过拟合更具鲁棒性，而Boosting需要仔细调参（如早停法、收缩率）以平衡偏差降低与方差控制。</t>
  </si>
  <si>
    <t>Bagging通过平均来自自助采样样本的模型来减少方差，从而稳定预测并缓解过拟合。Boosting通过顺序纠正误差来减少偏差，从而改善拟合效果，但若无早停等正则化方法则可能过拟合。</t>
  </si>
  <si>
    <t>关于多层感知机（MLP），请判断以下哪一项是正确的。 
A. 通过反向传播算法训练MLP时，训练损失/误差可能增加或减少。 
B. 增加训练轮数并不总能提升MLP的泛化性能。 
C. 固定结构的MLP可以同时实现多个回归函数，例如f1(x)、f2(x)和f3(x)。 
D. 以上所有选项。</t>
  </si>
  <si>
    <t>反向传播可能暂时增加损失，更多轮次可能导致过拟合，而多个输出允许同时进行回归函数，因此所有陈述均为真。</t>
  </si>
  <si>
    <t>简要讨论如何利用正则化来提高机器学习模型的泛化能力。</t>
  </si>
  <si>
    <t>正则化通过向损失函数添加一个惩罚项来提升泛化能力，该惩罚项会抑制模型过于复杂，从而减少过拟合并提升在未见数据上的表现。</t>
  </si>
  <si>
    <t>正则化在损失函数中添加对模型复杂度的惩罚，通过鼓励更简单的模型来更好地捕捉潜在规律，从而抑制过拟合，提高模型在未见数据上的性能。</t>
  </si>
  <si>
    <t>提出一种不使用dropout的正则化技巧，以提升自编码器的泛化能力。</t>
  </si>
  <si>
    <t>在训练过程中通过向输入数据添加随机噪声，同时要求模型重建原始干净输入，实现去噪自编码器（DAE）。</t>
  </si>
  <si>
    <t>去噪自编码器在训练过程中向输入添加噪声，迫使模型学习底层数据结构以重建干净输入，从而防止其简单复制数据并提升泛化能力。</t>
  </si>
  <si>
    <t>关于决策树（DT）模型，以下哪一项是正确的？ 
A. 决策树不能用于具有超过两个类别值（例如：真、假、未确定）的问题。 
B. 如果使用后剪枝树，决策树的模型构建时间会更短。 
C. 决策树不能用于没有类别属性的问题。 
D. 以上皆不正确。</t>
  </si>
  <si>
    <t>决策树是监督学习算法，需要类别属性来计算分割；若无标签，则缺乏用于学习的目标函数。</t>
  </si>
  <si>
    <t>关于k近邻（kNN）监督学习方法，以下哪一项是正确的？ 
A. kNN（当k大于1时）总是比1NN表现更好。 
B. 1NN和kNN均可用于回归任务。 
C. kNN（当k大于1时）的决策面比1NN更复杂。 
D. 以上都不对。</t>
  </si>
  <si>
    <t>kNN可以通过对k个最近邻的目标值进行平均来执行回归，这包括1NN的情况，因此选项B为真。</t>
  </si>
  <si>
    <t>感知机或其改进版本能否处理非线性可分的分类问题？ 
A. 可以，如果从原始特征中创建额外的输入特征，例如正弦函数或输入特征的乘积。 
B. 不可以，仅使用初始输入的标准感知机无法解决线性不可分问题。 
C. 不可以，但使用多个感知机并对它们的输出进行多数表决可以解决线性不可分问题。 
D. 以上所有选项</t>
  </si>
  <si>
    <t>标准感知机无法解决非线性可分问题，但通过添加非线性特征或在网络中使用多个感知机等改进方法可以解决，因此所有陈述都是正确的。</t>
  </si>
  <si>
    <t>关于卷积神经网络（CNN），以下哪项是正确的？ 
A. CNN无法处理五维或更高维的输入数据。 
B. CNN的池化层中没有可学习的参数。 
C. CNN必须包含多个全连接层。 
D. 以上陈述均不正确。</t>
  </si>
  <si>
    <t>池化层（如最大池化或平均池化）执行固定操作且无可训练权重，因此B正确。卷积神经网络能够处理高维数据且不需要全连接层，因此A和C错误。</t>
  </si>
  <si>
    <t>比较装袋法和提升法在降低偏差和方差方面的计算效率。</t>
  </si>
  <si>
    <t>Bagging因其可并行化的特性，在计算上比boosting更高效，且主要降低方差。Boosting由于采用顺序训练过程，计算成本较高，主要降低偏差，但通过适当的正则化也能减少方差。</t>
  </si>
  <si>
    <t>Bagging由于并行训练而计算高效，主要降低方差；而Boosting由于顺序训练而计算成本高，主要降低偏差，但通过正则化也能减少方差。</t>
  </si>
  <si>
    <t>比较装袋法和提升法在降低偏差和方差方面的效果。</t>
  </si>
  <si>
    <t>Bagging主要降低方差而不显著影响偏差，而Boosting主要降低偏差，同时也能减少方差，但若发生过拟合则可能增加方差。</t>
  </si>
  <si>
    <t>Bagging通过平均独立模型来减少方差，而Boosting通过顺序纠正误差来减少偏差，尽管过拟合可能增加方差。</t>
  </si>
  <si>
    <t>在神经网络的隐藏层中增加神经元，是否必然能获得更好的泛化性能（即对未见数据有更好的表现）？ 
A. 是 
B. 否 
C. 是，但仅在训练时间足够长的情况下 
D. 以上皆不对</t>
  </si>
  <si>
    <t>增加神经元数量会提升模型容量，若存在欠拟合可能改善泛化能力，但在数据不足或缺乏正则化时往往导致过拟合，因此并不能保证获得更好的泛化效果。</t>
  </si>
  <si>
    <t>关于k-近邻（k-NN）分类算法，以下哪项陈述是正确的？
A. k-NN在预测前需要训练阶段以学习模型参数。 
B. k-NN中k的取值对决策边界的形状没有影响。 
C. k-NN根据新样本的k个最近邻的多数类别为其分配类别标签。 
D. k-NN只能用于回归问题，不能用于分类。 
E. 以上皆不正确。</t>
  </si>
  <si>
    <t>k-NN是一种惰性学习器，没有显式的训练阶段，k值直接影响决策边界的平滑度。它适用于分类和回归任务，但在分类中，它会根据k个最近邻中的多数类别来分配类别，这使得C正确。</t>
  </si>
  <si>
    <t>以下哪一项不是使用卷积神经网络（CNN）将深度学习应用于图像的典型优势？ 
A. 能够自动学习特征的空间层次结构。 
B. 与全连接网络相比参数数量减少。 
C. 对输入图像的平移具有不变性。 
D. 需要手动进行特征提取。 
E. 高效处理高维数据。</t>
  </si>
  <si>
    <t>CNN通过直接从数据中学习特征，消除了手动特征工程的需求，这使得选项D成为一项缺点而非优势，与其他列出的优点不同。</t>
  </si>
  <si>
    <t>在卷积神经网络中，填充的主要作用是什么？ 
A. 填充增加卷积层中滤波器的数量。 
B. 填充降低卷积运算的计算成本。 
C. 填充使输出特征图保持与输入相同的空间维度。 
D. 填充用于在卷积前对输入数据进行归一化。 
E. 填充减小深层神经元的感受野。</t>
  </si>
  <si>
    <t>填充通过在输入周围添加零来保持卷积后的空间维度，防止边界信息丢失，并支持构建更深的网络。</t>
  </si>
  <si>
    <t>在无监督学习背景下，有500个特征，目标是识别三个最重要的特征以降低复杂度，即仅保留500个特征中的3个。以下哪项正确？ 
A. 该问题无法通过降维方法解决。 
B. 应选择方差较大的特征。 
C. 从500个特征中仅选择3个特征无法通过任何降维方法实现。 
D. 应选择方差较小的特征。 
E. 以上皆不正确</t>
  </si>
  <si>
    <t>在无监督学习中，按方差选择前三个特征是一种有效的降维方法，因为高方差特征能捕捉更多数据变异且信息量更大。</t>
  </si>
  <si>
    <t>在加载与存储架构中，访问内存的指令仅有加载和存储。</t>
  </si>
  <si>
    <t>在加载/存储架构中，只有加载和存储指令能够访问内存；所有其他指令都在寄存器上操作。</t>
  </si>
  <si>
    <t>更强大的指令带来更高的性能，因为对于给定任务，使用更强大的指令时执行的指令总数更少。</t>
  </si>
  <si>
    <t>更强大的指令可能会减少指令数量，但可能增加CPI或延长周期时间，从而可能降低性能。</t>
  </si>
  <si>
    <t>MIPS有两个基本的数据传输指令，包括lw和sw。内存地址是一个16位地址，由程序计数器内容与偏移值相加形成。</t>
  </si>
  <si>
    <t>该陈述是错误的，因为 `lw` 和 `sw` 使用基址寄存器加偏移量进行寻址，而不是程序计数器。</t>
  </si>
  <si>
    <t>优化的除法算法源于在减法过程中同时移位操作数和商。通过注意到寄存器和加法器中存在未使用的部分，这一改进将加法器和寄存器的宽度减半。</t>
  </si>
  <si>
    <t>该优化通过同时移位操作数和商，利用未使用的比特位，将加法器和寄存器的宽度减半。</t>
  </si>
  <si>
    <t>MIPS跳转指令采用最直接的寻址方式，通过J型格式实现，该格式为地址字段分配6位，其余位分配给操作码字段。</t>
  </si>
  <si>
    <t>错误：MIPS J型跳转指令为地址字段分配26位，而非6位，操作码仅使用6位。</t>
  </si>
  <si>
    <t>考虑以下 MIPS 汇编循环： 
LOOP: slt $t2, $0, $t1 
beq $t2, $0, DONE 
subi $t1, $t1, 1 
addi $s2, $s2, 2 
j LOOP 
假设寄存器 $t1 初始值为 10，$s2 初始值为 0，确定 $s2 的最终值。预期结果为 200。</t>
  </si>
  <si>
    <t>循环运行10次，每次迭代增加2，因此$s2$变为20，而不是200。</t>
  </si>
  <si>
    <t>IEEE 754 甚至为无效操作的结果定义了一个符号，例如 0/0 或从无穷大中减去无穷大。这个符号是 NaN，意为“非数字”。NaN 在编程中没有任何用途，只会导致错误，应当避免使用。</t>
  </si>
  <si>
    <t>NaN在编程中用于占位符和错误处理，而不仅仅是需要避免的错误。</t>
  </si>
  <si>
    <t>使用线性探测的开放寻址哈希需要两个哈希函数。</t>
  </si>
  <si>
    <t>线性探测仅使用一个哈希函数；冲突通过检查连续槽位来解决。</t>
  </si>
  <si>
    <t>用于模式匹配的后缀树需要对模式进行预处理。</t>
  </si>
  <si>
    <t>后缀树通过预处理文本而非模式，以实现高效的模式匹配。</t>
  </si>
  <si>
    <t>在四叉树中，对指定范围内无点的区域进行范围查询时，最坏情况下的时间复杂度为 O(h)。</t>
  </si>
  <si>
    <t>最坏情况下的复杂度是O(√n)，而非O(h)，因为即使未报告任何点，查询仍可能涉及多个节点。</t>
  </si>
  <si>
    <t>每个由英文字符和一个结束字符组成的字符串都可以通过逆BWT解码。</t>
  </si>
  <si>
    <t>逆BWT总能从其BWT输出重建原始字符串，因为唯一的结束字符确保了一对一的可逆映射。</t>
  </si>
  <si>
    <t>如果链式哈希的 α = 1，则插入新键将始终失败。</t>
  </si>
  <si>
    <t>即使α=1时，插入操作仍能通过链式处理成功，因为桶可以通过链表容纳多个键。</t>
  </si>
  <si>
    <t>每个AVL树也都是一个2-4树。</t>
  </si>
  <si>
    <t>AVL树是严格的二叉树，而2-4树是多路树，因此它们的结构特性不兼容。</t>
  </si>
  <si>
    <t>前移编码(MTF变换)采用自适应字典。</t>
  </si>
  <si>
    <t>Move-to-front 在编码过程中动态更新其符号列表，因此它是一种自适应字典方法。</t>
  </si>
  <si>
    <t>假设负责 mit.edu 的权威名称服务器将 csail.mit.edu 映射到 IP1。类似地，负责 berkeley.edu 的名称服务器将 eecs.berkeley.edu 映射到 IP2。berkeley.edu 中没有 csail.berkeley.edu 的条目。当客户端查询 mit.edu 名称服务器以解析 csail.berkeley.edu 时，下列哪一项最准确地描述了 mit.edu 的返回结果？ 
A. 一条将 csail.berkeley.edu 映射到 IP1 的 A 记录，因为在 mit.edu 内 csail 与 IP1 关联 
B. 一条 berkeley.edu 的 NS 记录，因为这是 berkeley.edu 的名称服务器 
C. 一条 .edu 的 NS 记录，因为这是 mit.edu 和 berkeley.edu 共用的名称服务器 
D. 以上都不是</t>
  </si>
  <si>
    <t>mit.edu服务器仅对其自身区域具有权威性，因此无法回答关于csail.berkeley.edu的查询并将拒绝该请求，这使得所有提供的描述都不正确。</t>
  </si>
  <si>
    <t>考虑一位管理员，他负责管理berkeley.edu域的域名服务器，并希望添加一个名为csail.berkeley.edu的主机。以下哪项陈述是正确的？ 
A. 此过程必须与mit.edu协调，因为他们已有一台名为csail的主机。 
B. 新名称不能映射到IP2，因为DNS不允许重复的IP地址。 
C. 新主机本身可以作为csail.mit.edu域的域名服务器，因为DNS允许分层命名系统。 
D. 管理员必须非常谨慎，因为单个域名服务器故障有可能导致整个互联网瘫痪。</t>
  </si>
  <si>
    <t>DNS是分层且分布式的，因此如果`mit.edu`将该子域委托给`csail.berkeley.edu`，则`csail.berkeley.edu`可以作为`csail.mit.edu`的域名服务器，因为DNS允许任何主机成为被委托区域的域名服务器。</t>
  </si>
  <si>
    <t>Bufferbloat会导致____显著增加，从而使交互式应用程序超时或无响应。</t>
  </si>
  <si>
    <t>排队延迟</t>
  </si>
  <si>
    <t>Bufferbloat是指当网络缓冲区过大，导致数据包停留时间过长，从而引发排队延迟急剧上升的现象。这种增加的延迟会干扰交互式应用程序，由于数据包未能及时送达，导致超时和响应迟缓。</t>
  </si>
  <si>
    <t>Bufferbloat 可能同时出现在网络的 _____ 和其 _____ 中。</t>
  </si>
  <si>
    <t>边缘，核心</t>
  </si>
  <si>
    <t>Bufferbloat发生在网络边缘（例如家庭路由器）及其核心（例如骨干基础设施），这是由于过度的数据包缓冲导致延迟。</t>
  </si>
  <si>
    <t>与TCP相比，DCTCP对______的反应更为迅速。</t>
  </si>
  <si>
    <t>网络拥塞</t>
  </si>
  <si>
    <t>DCTCP利用ECN标记来检测拥塞，这比依赖丢包的TCP更早，使其能更快速地对网络拥塞作出响应。</t>
  </si>
  <si>
    <t>Bufferbloat会增加延迟，但不会显著降低____。在大文件传输过程中，瓶颈在于数据传输速率本身。</t>
  </si>
  <si>
    <t>吞吐量</t>
  </si>
  <si>
    <t>Bufferbloat会增加延迟，因为大缓冲区会导致数据包延迟，但由于链路保持饱和且数据包最终会被送达，吞吐量仍保持较高水平。</t>
  </si>
  <si>
    <t>Bufferbloat可能导致_____增加其窗口大小，因为直到队列满之前，丢包的反馈信息都是缺失的。</t>
  </si>
  <si>
    <t>TCP 拥塞</t>
  </si>
  <si>
    <t>Bufferbloat可能导致TCP拥塞控制算法增加其窗口大小，因为大缓冲区会延迟丢包反馈，误导TCP在队列溢出前误认为存在可用带宽。</t>
  </si>
  <si>
    <t>一个程序在虚拟内存系统中运行。被引用的页面序列为：1, 2, 3, 4, 1, 2, 5, 1, 2, 3, 4, 5。初始时内存为空。系统有3个页帧，且采用FIFO替换算法。
总共被置换出的页面数为 __。</t>
  </si>
  <si>
    <t>我们在该引用串上模拟了采用三个页框的FIFO算法。每次缺页时加载一页，需要替换时则替换最旧的页。缺页发生在引用1、2、3、4、1、2、5、3和4处，总共换入了九页。</t>
  </si>
  <si>
    <t>在一个虚拟内存系统中，一个程序的页面引用序列为：1, 2, 3, 4, 1, 2, 5, 1, 2, 3, 4, 5。初始时内存为空。系统有4个页帧，并使用LRU替换策略。总共被置换出的页面数为__。</t>
  </si>
  <si>
    <t>对给定序列使用4个帧进行LRU页面替换模拟，会产生8次页面错误，因为仅当页面不在帧中时才会将其加载到内存中。</t>
  </si>
  <si>
    <t>在UNIX多道程序操作系统中，程序会被分配优先级数值。当优先级数值更高的程序被执行时，它在自己的轮次中获得_____的时间更长。</t>
  </si>
  <si>
    <t>时间片</t>
  </si>
  <si>
    <t>在UNIX多道程序设计中，优先级较高的进程在其运行轮次中获得更长的时间片，从而获得更多CPU时间，以减少上下文切换开销并确保更快的执行进度。</t>
  </si>
  <si>
    <t>设G是一个连通的边加权图，G'是通过向G添加一条边得到的图。那么G有一个最小生成树T，G'有一个最小生成树T'，使得在T中最多有一条边不在T'中。</t>
  </si>
  <si>
    <t>向 \( T \) 添加一条边会形成一个环；移除该环中最重的边得到 \( T' \)，两者最多相差一条边。</t>
  </si>
  <si>
    <t>给定一个具有V个顶点和E条边的流网络以及一个最小割，最大流的值可以在与E+V成正比的时间内计算出来。</t>
  </si>
  <si>
    <t>最大流等于最小割的容量，可以通过对跨越割的边的容量求和，在O(V+E)时间内计算得出。</t>
  </si>
  <si>
    <t>将关系 R = ABCDEFGH 分解为 BCNF，按照以下函数依赖顺序进行：F = {C → A, B → EF, H → BCG, F → CD, G → B}。在得到的分解结果中，下列哪些关系存在？ 
A. AC 
B. BCDGH 
C. BCGH 
D. BG 
E. DH</t>
  </si>
  <si>
    <t>分解过程如下：从 C → A 得到 AC；在 H → BCG 将 BCDGH 拆分为 DH 和 BCGH 后，从 G → B 得到 BG；DH 作为关系保留，同时 BEF 和 CGH 也存在，但未在选项中列出。</t>
  </si>
  <si>
    <t>考虑一个数据库模式，其属性集 R = ABCDEF，函数依赖集 F = {C → D, A → B, B → EF, F → A}。已知将其分解为表 ABDE 和 ABCF 目前不是无损分解。以下哪项修改（单独应用，不合并使用）可以使该分解成为无损分解？ 
A. 在函数依赖集 F 中添加 D → ABCDEF 
B. 在函数依赖集 F 中添加 E → C 
C. 在函数依赖集 F 中添加 B → D</t>
  </si>
  <si>
    <t>交集AB通过A→B和B→EF确定ABEF，但未包含任一表的所有属性。添加E→C后，通过E→C使AB→ABCF，确保无损性。添加B→D后，通过B→D使AB→ABDE，同样确保无损性。</t>
  </si>
  <si>
    <t>请根据下表标记出符合的函数依赖关系。 
{{A,B,C,D},{1,3,6,2},{2,4,1,1},{1,3,5,2},{2,2,1,2}} 
A. A → D 
B. AB → D 
C. A → CD 
D. ABC → D</t>
  </si>
  <si>
    <t>A → D 为假，因为 A=2 时 D 可取 1 或 2，违反依赖关系。AB → D 成立，因为每一组 AB 对都唯一确定一个 D。A → CD 不成立，因为 A=1 时对应多个 CD 对。ABC → D 成立，因为每一组 ABC 三元组都唯一确定一个 D。</t>
  </si>
  <si>
    <t>在一个通过将阻塞请求置于队列前端并在阻塞前释放原锁来实现锁升级的数据库系统中，构造了一个测试来验证队列放置的正确性。该测试涉及三个事务： 
t1 请求数据库上的 __(1)__ 锁， 
t2 请求数据库上的 __(2)__ 锁， 
t3 请求数据库上的 __(3)__ 锁。 
随后，t2 请求升级为 __(4)__ 锁。 
在确认 t2 被阻塞后，t1 释放其数据库锁，并检查确认 t2 此时持有 __(4)__ 锁。 
该数据库仅支持 S（共享）锁和 X（排他）锁，且不涉及多粒度锁定。 
为使测试仅在升级请求被正确置于队列前端时成功，空白 (1)、(2)、(3) 和 (4) 处应填入何种锁类型？</t>
  </si>
  <si>
    <t>测试要求t1和t2最初持有兼容的S锁，t3被t1的锁阻塞以形成队列，且t2需升级为独占X锁，该锁必须排在t3之前才能成功。</t>
  </si>
  <si>
    <t>以下哪一项描述了“等待-死亡”死锁避免策略？ 
A. 它避免所有死锁。 
B. 它从不进行不必要的终止。</t>
  </si>
  <si>
    <t>等待-死亡策略通过确保只有高优先级事务可以等待来消除等待循环，从而防止所有死锁。然而，它可能会不必要地中止低优先级事务，即使实际上不会发生死锁。</t>
  </si>
  <si>
    <t>对于伤等死锁避免策略，以下哪项是正确的？ 
A. 它可以避免所有死锁。 
B. 它从不进行不必要的终止。</t>
  </si>
  <si>
    <t>创伤-等待策略通过确保只有低优先级事务可以等待来防止所有死锁，从而消除等待循环。然而，当高优先级事务请求低优先级事务持有的锁时，该策略可能导致不必要的事务中止。</t>
  </si>
  <si>
    <t>NO STEAL 确保在没有 UNDO 日志的情况下实现 _____。</t>
  </si>
  <si>
    <t>原子性</t>
  </si>
  <si>
    <t>NO STEAL机制防止未提交的更改写入磁盘，因此在没有UNDO日志的情况下，崩溃后仅保留已提交数据，从而确保原子性，因为未完成的事务不会产生需要撤销的持久化影响。</t>
  </si>
  <si>
    <t>FORCE策略有助于在不使用REDO日志的情况下实现_____。</t>
  </si>
  <si>
    <t>耐用性</t>
  </si>
  <si>
    <t>FORCE策略通过将所有已提交的事务更新在提交前写入磁盘，确保无需REDO日志即可实现持久性，从而保证已提交的更改在系统崩溃后依然保留。</t>
  </si>
  <si>
    <t>在使用TF-IDF进行文本搜索和排序时，以下哪些说法是正确的？ 
A. 在词袋模型中，因信息量低而忽略“of”等词语属于停用词去除的示例。 
B. 为实现快速文本搜索，会构建倒排文件，其中包含从文档到词语的映射。 
C. 信息检索系统的向量空间非常庞大，因为语料库中每个文档对应一个“维度”。 
D. 在计算距离以查找文档间相似度时，对向量进行归一化是有益的。 
E. 考虑三个文档：Doc1长度为10,000，Doc2长度为9,900，Doc3长度为100。使用余弦相似度距离度量时，Doc1很可能与Doc2的相似度高于与Doc3的相似度。 
F. TF-IDF值随词语在文档中出现频率的增加而增加。</t>
  </si>
  <si>
    <t>停用词去除过滤常见词汇如“的”（A）。向量归一化有助于相似度度量（D）。倒排文件将词语映射至文档，而非反向映射（B）。向量空间按词项而非文档定义维度（C）。余弦相似度经过归一化处理，因此长度不影响相似度判定（E）。TF-IDF值在IDF为零时可能不随词频增加而上升（F）。</t>
  </si>
  <si>
    <t>在进行信息检索排序时，我们倾向于哪种类型的词语？
A. 重复出现的词语
B. 较长的词语
C. 不常见的词语
D. 大写词语</t>
  </si>
  <si>
    <t>在信息检索排序中，不常见的词汇会受到青睐，因为它们具有较高的逆文档频率，这意味着这些词汇在整个语料库中很少出现，从而使其成为识别相关文档的有力区分指标。</t>
  </si>
  <si>
    <t>考虑500个文档，其文档ID为1, . . . , 500。下表列出了每个文档中“database”一词的出现次数：
{{文档ID, “database”出现次数}, {1, 4}, {2, 17}, {3, 12}, {4, 7}, {5, 9}, {6-500, 0}}
对于词项 = “database” 且文档ID = 2 的“文档词项排序”值为 __</t>
  </si>
  <si>
    <t>文档ID 2的DocTermRank为34，由词频（17）乘以逆文档频率的对数计算得出，其中500篇总文档中有5篇包含该词项。</t>
  </si>
  <si>
    <t>当一次文本搜索查询返回前100个答案时，其中95个是正确的。由于95%的正确率，质量被认为是良好的。这描述了哪种答案质量的度量指标？ 
A. 准确率 
B. 精确率 
C. 检索 
D. 召回率</t>
  </si>
  <si>
    <t>该场景描述的是精确率，因为它衡量的是检索集合（100）中正确答案（95）的比例，仅关注返回结果的质量。</t>
  </si>
  <si>
    <t>一个参与机器在将准备记录刷新到日志之前就响应协调者，可能会违反_____属性。</t>
  </si>
  <si>
    <t>参与者若在刷新准备记录之前响应，则可能在崩溃后丢失其提交状态，这违反了持久性——持久性确保即使发生故障，事务影响依然持续。</t>
  </si>
  <si>
    <t>分布式死锁仅当节点上的等待图形成环时才会发生。</t>
  </si>
  <si>
    <t>分布式死锁需要在全局等待图中存在循环，而不仅仅是在单个节点的局部图中。</t>
  </si>
  <si>
    <t>在2PC中，我们需要所有参与节点都同意中止（投票NO）才能中止一个事务。</t>
  </si>
  <si>
    <t>在2PC中，中止只需要一个节点投反对票，而非全部。</t>
  </si>
  <si>
    <t>在2PC第二阶段，协调者向所有参与者发送提交消息后，参与者首先回复确认，然后生成并刷入提交记录。</t>
  </si>
  <si>
    <t>参与者仅在生成并刷新提交记录后响应Ack，而非在此之前。</t>
  </si>
  <si>
    <t>假设你是一台刚刚从崩溃中恢复的机器。你在日志中发现事务 T 仅有一条中止记录。在正确的两阶段提交和日志协议下，你是一个已完成第一阶段但在______期间崩溃的______。</t>
  </si>
  <si>
    <t>第二阶段；协调员</t>
  </si>
  <si>
    <t>该机器是协调者，因为它在第一阶段后记录了中止决定，但在完成第二阶段的中止操作前崩溃了。</t>
  </si>
  <si>
    <t>假设在带日志的两阶段提交（2PC）中，有一个协调者和三个参与者。协调者向所有参与者发送消息需要30ms；参与者1、2、3分别向协调者发送一条消息需要5ms、10ms和15ms；每台机器生成并刷写一条记录需要10ms。假设对于同一条消息，每个参与者从协调者处收到的时间相同。 
在正确的2PC和日志协议下，整个2PC过程（从开始到协调者最终日志刷写完成）在最佳情况下成功提交所需时间为_____。</t>
  </si>
  <si>
    <t>130毫秒</t>
  </si>
  <si>
    <t>在最佳情况下，第一阶段耗时65毫秒：协调者发送（30毫秒），参与者3回复（15毫秒），双方各自记录（各10毫秒）。第二阶段重复此过程，总计130毫秒。</t>
  </si>
  <si>
    <t>使用SQL分析来解读霍格沃茨战役中的事件，考虑以下数据库表： 
Wizards(wizid integer, name text, house text, evil boolean, PRIMARY KEY(wizid)); 
Spells(sid integer, name text, offensive boolean, PRIMARY KEY(sid)); 
Attacks(attackid integer, attacker integer, attacked integer, spell integer, PRIMARY KEY(attackid), FOREIGN KEY(spell) REFERENCES Spells, FOREIGN KEY(attacker) REFERENCES Wizards, FOREIGN KEY(attacked) REFERENCES Wizards)。 
请选出所有能够返回攻击次数超过3次的巫师姓名的查询语句。不要假设姓名是唯一的。 
A. SELECT name FROM Wizards, Attacks 
WHERE wizid = attacker 
GROUP BY attacker, name 
HAVING COUNT(*) &gt; 3; 
B. SELECT name FROM Wizards, Attacks 
WHERE wizid = attacker 
GROUP BY name 
HAVING COUNT(*) &gt; 3; 
C. SELECT name FROM 
(SELECT name FROM Wizards, Attacks 
WHERE wizid = attacker) AS a 
GROUP BY attacker,name 
HAVING COUNT(*) &gt; 3 
ORDER BY COUNT(name);</t>
  </si>
  <si>
    <t>选项A正确按照攻击者ID和姓名进行分组，确保即使存在重名也能统计到独立的巫师。选项C同样按攻击者和姓名分组，尽管包含ORDER BY子句仍属正确。选项B仅按姓名分组，可能错误合并同名不同巫师的攻击数据。</t>
  </si>
  <si>
    <t>运用你的SQL知识推断霍格沃茨之战中发生了什么。假设你有以下数据表：
CREATE TABLE Wizards(wizid integer, name text, house text, evil boolean, PRIMARY KEY(wizid));
CREATE TABLE Spells(sid integer, name text, offensive boolean, PRIMARY KEY (sid));
CREATE TABLE Attacks(attackid integer, attacker integer, attacked integer, spell integer, PRIMARY KEY(attackid), FOREIGN KEY(spell) REFERENCES Spells, FOREIGN KEY(attacker) REFERENCES Wizards, FOREIGN KEY(attacked) REFERENCES Wizards);
请选出所有能查询出以下结果的语句：找出被另一位巫师（B）用两种不同咒语攻击过两次的巫师（A）的姓名列表，且列表中不应有重复项。不要假设姓名具有唯一性。
A. SELECT w1.name AS A
FROM Wizards w1, Wizards w2, Attacks a1, Attacks a2
WHERE w1.wizid = a1.attacked AND a1.spell &lt;&gt; a2.spell
AND w2.wizid = a2.attacked AND a1.attacked = a2.attacked;
B. SELECT DISTINCT w1. name AS A
FROM Wizards w1, Attacks a1, Attacks a2
WHERE w1.wizid = a1.attacked AND a1.spell &lt;&gt; a2.spell
AND w1.wizid = a2.attacked AND a1.attacked = a2.attacked;
C. SELECT DISTINCT w1.name AS A
FROM Wizards w1, Wizards w2, Attacks a1, Attacks a2
WHERE a1.attacker = a2.attacker AND w1.wizid = a1.attacked
AND a1.spell &lt;&gt; a2.spell AND w2.wizid = a2.attacked AND a1.attacked = a2.attacked;</t>
  </si>
  <si>
    <t>查询C是正确的，因为它确保了同一攻击者对同一受害者使用了两种不同的法术，并去除了重复记录。A缺少DISTINCT和同一攻击者条件，而B缺少同一攻击者条件。</t>
  </si>
  <si>
    <t>运用你的SQL知识推断霍格沃茨之战期间发生了什么。假设你拥有以下数据表：
CREATE TABLE Wizards(wizid integer, name text, house text, evil boolean, PRIMARY KEY(wizid));
CREATE TABLE Spells(sid integer, name text, offensive boolean, PRIMARY KEY (sid));
CREATE TABLE Attacks(attackid integer, attacker integer, attacked integer, spell integer, PRIMARY KEY(attackid), FOREIGN KEY(spell) REFERENCES Spells, FOREIGN KEY(attacker) REFERENCES Wizards, FOREIGN KEY(attacked) REFERENCES Wizards);
选择以下所有查询，返回所有从未在攻击中使用过的咒语的名称。
A. SELECT name
FROM Spells
WHERE sid NOT IN
(SELECT spell FROM Attacks);
B. SELECT name
FROM Spells
WHERE NOT EXISTS
(SELECT * FROM Attacks WHERE spell = sid);
C. SELECT Spells.name
FROM Spells, Wizards, Attacks
WHERE wizid = attacker and spell = sid;</t>
  </si>
  <si>
    <t>选项A和B通过排除攻击表中存在匹配记录的咒语，正确识别出从未用于攻击的咒语；而选项C由于使用了内连接，错误地仅返回曾被使用过的咒语。</t>
  </si>
  <si>
    <t>运用你的SQL知识推断霍格沃茨之战期间发生了什么。假设你拥有以下数据表：
CREATE TABLE Wizards(wizid integer, name text, house text, evil boolean, PRIMARY KEY(wizid));
CREATE TABLE Spells(sid integer, name text, offensive boolean, PRIMARY KEY (sid));
CREATE TABLE Attacks(attackid integer, attacker integer, attacked integer, spell integer, PRIMARY KEY(attackid), FOREIGN KEY(spell) REFERENCES Spells, FOREIGN KEY(attacker) REFERENCES Wizards, FOREIGN KEY(attacked) REFERENCES Wizards);
请根据以下要求填空：构造一个查询，若施放攻击性咒语的邪恶巫师更多则返回true，若施放攻击性咒语的善良巫师更多则返回false。注意有且仅有一个正确答案。
WITH count_evil_good_spells(evil, num_offensive) AS
(SELECT evil, count(*)
FROM attacks, wizards, spells
WHERE ______ and spell = sid
AND offensive = _______
GROUP BY _______)
SELECT evil
FROM count_evil_good_spells
WHERE num_offensive &gt;= ALL
(SELECT num_offensive
FROM ______);</t>
  </si>
  <si>
    <t>该查询通过attacker = wizid将攻击与巫师表连接，仅统计offensive = true的法术，按evil分组比较总数，并从CTE中选择计数最高的邪恶状态。</t>
  </si>
  <si>
    <t>一个关系数据库包含以下表： 
CREATE TABLE Employee(PNR text, SALARY integer, SEX text, DEPT text, PRIMARY KEY(PNR)) 
基于成本的优化器使用以下作为元数据存储在DBMS系统目录中的统计信息： 
• 表中共有10000行数据。 
• 公司有20个部门。 
• SEX的取值为‘Male’或‘Female’。 
• 最低工资为20000，最高工资为100000。 
查询优化器对统计信息做出以下假设： 
• 查询优化器假设各列的数据值均匀分布 
• 查询优化器假设不同列之间的值相互独立 
对于选择率问题，答案可以用分数或小数表示。 
条件 SALARY &lt; 25000 的选择率是 ____</t>
  </si>
  <si>
    <t>0.06250 或 5000/80001</t>
  </si>
  <si>
    <t>选择性计算为低于25000的薪资范围所占比例，即(25000 - 20000)除以总范围(100000 - 20000 + 1)，得到5000/80001，约等于0.06250。</t>
  </si>
  <si>
    <t>一个关系数据库包含以下表：
CREATE TABLE Employee(PNR text, SALARY integer, SEX text, DEPT text, PRIMARY KEY(PNR))
基于成本的优化器使用以下存储在DBMS系统目录中的元数据统计信息：
• 该表有10000行数据。
• 公司有20个部门。
• SEX的取值为‘Male’或‘Female’。
• 最低工资为20000，最高工资为100000。
查询优化器对统计数据做出以下假设：
• 查询优化器假设各列的数据值均匀分布
• 查询优化器假设不同列之间的值相互独立
对于选择率问题，答案可以用分数或小数表示。
条件 (SALARY &gt; 100000 OR SEX != ’Male’) And DEPT=’Toys’ 的选择率是 ____</t>
  </si>
  <si>
    <t>0.025 或 1/40</t>
  </si>
  <si>
    <t>由于没有薪水超过100000，第一个条件为假，因此仅剩 SEX != 'Male'（选择率0.5）和 DEPT='Toys'（选择率1/20），所以综合选择率为 0.5 * 0.025 = 0.025。</t>
  </si>
  <si>
    <t>一个关系数据库包含以下表：
CREATE TABLE Employee(PNR text, SALARY integer, SEX text, DEPT text, PRIMARY KEY(PNR))
基于成本的优化器使用以下作为元数据存储在DBMS系统目录中的统计信息：
• 该表有10000行。
• 公司有20个部门。
• SEX的取值为‘Male’或‘Female’。
• 最低工资为20000，最高工资为100000。
查询优化器对统计信息做出以下假设：
• 查询优化器假设各列的数据值均匀分布
• 查询优化器假设不同列之间的值相互独立
对于选择率问题，答案可以用分数或小数表示。
条件 (SEX = ’Male’ OR SALARY &gt; 80000) 的选择率是 ____</t>
  </si>
  <si>
    <t>0.62500 或 100001/160002</t>
  </si>
  <si>
    <t>选择性为0.62500，通过计算SEX='Male'的概率（1/2）与SALARY&gt;80000的概率（20000/80001）之和，再减去因独立性产生的重叠部分得出，结果为100001/160002。</t>
  </si>
  <si>
    <t>一个关系数据库包含以下表： 
CREATE TABLE Employee(PNR text, SALARY integer, SEX text, DEPT text, PRIMARY KEY(PNR)) 
基于成本的优化器使用以下作为元数据存储在DBMS系统目录中的统计信息： 
• 该表有10000行。 
• 公司有20个部门。 
• SEX的取值为‘Male’或‘Female’。 
• 最低工资为20000，最高工资为100000。 
查询优化器对统计信息做出以下假设： 
• 查询优化器假设各列的数据值均匀分布 
• 查询优化器假设不同列之间的值相互独立 
对于选择率问题，答案可以用分数或小数表示。 
条件 ((SEX= ’Male’ AND DEPT = ’Toys’) OR (SEX= ’Female’ AND DEPT = ’Tools’)) AND (SALARY &gt; 50000 OR SALARY &lt; 25000) 的选择率是 ____</t>
  </si>
  <si>
    <t>0.03437 或 2750/80001</t>
  </si>
  <si>
    <t>选择性为2750/80001，这是通过将SEX和DEPT的OR条件联合概率（0.05）乘以SALARY条件的联合概率（50000/80001 + 5000/80001）计算得出的。</t>
  </si>
  <si>
    <t>对左侧最大二叉堆执行 delMax() 操作后得到右侧二叉堆。 
左侧：[90,70,50,10,30,?] 
右侧：[70,?,50,10,30] 
以下哪个键可能是问号所标记的键？ 
A. 25 
B. 35 
C. 45 
D. 55 
E. 65</t>
  </si>
  <si>
    <t>原最大堆要求未知键值 ≤ 50。执行 delMax 后，该键值移动并下沉，要求其 ≥ 30 才能与子节点满足堆序。因此，该键值必须满足 30 ≤ ? ≤ 50。</t>
  </si>
  <si>
    <t>以下是一棵二叉搜索树（BST）的部分层序遍历结果：80 40 110 ? 100 120 60 
问号处可能是下列哪个键值？ 
A. 30 
B. 50 
C. 70 
D. 90 
E. 115</t>
  </si>
  <si>
    <t>缺失的节点是40的右子节点，因此其值必须在40和80之间。只有70符合条件，使得60可以成为其左子节点，同时保持二叉搜索树的顺序和给定的层序遍历序列。</t>
  </si>
  <si>
    <t>以下部分代码旨在将正整数 n 的二进制表示输出到标准输出。例如，若 n = 6 则输出 110，若 n = 50 则输出 110010。 
[1] 
while (n &gt; 0) 
{ 
stack.push(n % 2); 
[2] 
n = n / 2; 
} 
for (int d : collection) 
StdOut.print(d); 
请补全上述部分实现中缺失的两行代码。 
A. Stack&lt;Integer&gt; collection = new Stack&lt;Integer&gt;(); 
B. Queue&lt;Integer&gt; collection = new Queue&lt;Integer&gt;(); 
C. collection.push(n % 10); 
D. collection.enqueue(n % 10); 
E. collection.push(n % 2); 
F. collection.enqueue(n % 2);</t>
  </si>
  <si>
    <t>该算法从最低位到最高位计算二进制数字，因此需要一个栈来反转它们的顺序以实现正确打印。选项A声明了一个栈，而选项E将二进制数字（n % 2）压入栈中，确保数字以正确的顺序输出。</t>
  </si>
  <si>
    <t>以下代码片段旨在将正整数 n 的二进制表示输出到标准输出。例如，若 n = 6，则输出 110；若 n = 50，则输出 110010。 
Stack&lt;Integer&gt; collection = new Stack&lt;Integer&gt;(); 
while (n &gt; 0) 
{ 
stack.push(n % 2); 
collection.push(n % 2); 
n = n / 2; 
} 
for (int d : collection) 
StdOut.print(d); 
代码执行结束时，collection 中包含多少个元素？ 
A. Θ(1) 
B. Θ(log log n) 
C. Θ(log n) 
D. Θ(n) 
E. Θ(n log n) 
F. Θ(n²)</t>
  </si>
  <si>
    <t>while循环会一直运行直到n变为0，每次迭代推入一个数字并将n减半，因此迭代次数——也就是栈元素的数量——等于n的二进制表示的位数，即Θ(log n)。</t>
  </si>
  <si>
    <t>以下代码片段旨在将正整数 n 的二进制表示输出到标准输出。例如，若 n = 6 则输出 110，若 n = 50 则输出 110010。 
Stack&lt;Integer&gt; collection = new Stack&lt;Integer&gt;(); 
while (n &gt; 0) 
{ 
stack.push(n % 2); 
collection.push(n % 2); 
n = n / 2; 
} 
for (int d : collection) 
StdOut.print(d); 
假设 collection 是以可调整大小的数组实现的。运行此代码时，数组会扩容多少次？ 
A. Θ(1) 
B. Θ(log log n) 
C. Θ(log n) 
D. Θ(n) 
E. Θ(n log n) 
F. Θ(n²)</t>
  </si>
  <si>
    <t>循环运行 Θ(log n) 次，将元素压入由可调整大小的数组支持的栈中，该数组在满时容量翻倍。从恒定的初始容量开始，要容纳 Θ(log n) 个元素所需的翻倍次数为 Θ(log(log n))。</t>
  </si>
  <si>
    <t>考虑一个包含 2n 个元素的数组，其形式为：1, 2n − 1, 2, 2n − 2, 3, 2n − 3, 4, 2n − 4, . . . , n, n。 
例如，当 n = 8 时，数组为：1 15 2 14 3 13 4 12 5 11 6 10 7 9 8 8。 
在最坏情况下，选择排序需要进行多少次比较（以 n 的函数表示）？注意数组的长度是 2n，而不是 n。 
A. ∼1/4*n^2 
B. ∼1/2*n^2 
C. ∼n^2 
D. ∼2*n^2 
E. ∼4*n^2</t>
  </si>
  <si>
    <t>选择排序对于长度为 \( N \) 的数组总是执行 \( N(N-1)/2 \) 次比较，与元素顺序无关。由于 \( N = 2n \)，这简化为 \( 2n^2 - n \)，其渐近形式为 \( \sim 2n^2 \)。</t>
  </si>
  <si>
    <t>考虑一个包含 2n 个元素的数组，其形式为：1, 2n − 1, 2, 2n − 2, 3, 2n − 3, 4, 2n − 4, . . . , n, n。 
例如，当 n = 8 时，数组为：1 15 2 14 3 13 4 12 5 11 6 10 7 9 8 8。 
在最坏情况下，插入排序需要进行多少次比较（以 n 的函数表示）？注意数组的长度为 2n，而非 n。 
A. ∼1/4*n^2 
B. ∼1/2*n^2 
C. ∼n^2 
D. ∼2*n^2 
E. ∼4*n^2</t>
  </si>
  <si>
    <t>该数组交替出现小幅递增和大幅递减的值，导致每次插入所需的比较次数与其位置成正比。求和后得到约 \(n^2\) 次比较，与插入排序的最坏情况复杂度一致。</t>
  </si>
  <si>
    <t>给定一个由数组 [99, 75, 51, 10, 23, 35, 41, 4] 表示的二叉最大堆，一个新节点以优先级 x 被插入为优先级 10 的节点的右子节点。以下关于 x 的哪个条件能确保插入后的堆仍然有效？ 
A. x ≥ 10 
B. x ≤ 10 
C. x &gt; 10 
D. x &lt; 10 
E. 10 ≤ x ≤ 75 
F. 4 ≤ x ≤ 10 
G. 以上都不对</t>
  </si>
  <si>
    <t>为了在插入后堆保持有效，新节点 \(x\) 的优先级不能超过其父节点的优先级 10，因此需要满足 \(x \le 10\)。</t>
  </si>
  <si>
    <t>给定一个AVL树：[50,46,54,44,48,52,58,56,60] 
当插入 __ 时，会导致该AVL树发生双旋转。</t>
  </si>
  <si>
    <t>55 或 57</t>
  </si>
  <si>
    <t>插入55或57会在节点54处造成之字形（右-左）不平衡，需要通过双旋转来恢复平衡。</t>
  </si>
  <si>
    <t>在采用链式节点结构实现的二叉搜索树中，插入操作的时间复杂度为________，排序操作的时间复杂度为________。</t>
  </si>
  <si>
    <t>平均时间复杂度为 O(log n)，最坏情况下为 O(n)；空间复杂度为 O(n)。</t>
  </si>
  <si>
    <t>插入操作平均时间复杂度为O(log n)，这得益于平衡的高度，但在最坏情况下的已排序序列中会退化为O(n)；通过中序遍历进行排序始终是O(n)，因为需要访问每个节点一次。</t>
  </si>
  <si>
    <t>在哈希表中，两个元素或键映射到同一位置的情况称为 __________</t>
  </si>
  <si>
    <t>碰撞</t>
  </si>
  <si>
    <t>当两个键哈希到哈希表中的同一位置时发生碰撞，由于表的大小有限，这是一种常见情况，需要采用链式法或开放寻址法等解决方法。</t>
  </si>
  <si>
    <t>在具有 n 个元素的平衡二叉搜索树中搜索一个元素的最坏情况运行时间是 ___________</t>
  </si>
  <si>
    <t>在平衡二叉搜索树中，高度为 O(log n)，因为树的结构避免了线性退化。搜索操作从根节点遍历至叶节点，所需时间与高度成正比，因此最坏情况下的运行时间为 Θ(log n)。</t>
  </si>
  <si>
    <t>关于集合（Set），以下哪些说法是正确的？ 
A. TreeSet 按排序顺序存储元素 
B. HashSet 保持元素的插入顺序 
C. 集合（Set）不允许重复值 
D. HashSet 通常比 TreeSet 更高效</t>
  </si>
  <si>
    <t>A, C, D</t>
  </si>
  <si>
    <t>TreeSet按排序顺序存储元素，而HashSet不保留插入顺序。根据定义，Set不允许重复值。由于关键操作的平均时间复杂度为O(1)，HashSet通常比TreeSet更高效。</t>
  </si>
  <si>
    <t>考虑以下方法：
public static Set&lt;Integer&gt; superSecretMystery(int[][] arr) {
Set&lt;Integer&gt; result = new TreeSet&lt;&gt;();
for (int i = arr.length - 1; i &gt;= 0; i--) {
for (int j = 0; j &lt; arr[i].length; j++) {
result.add((j - i) * 10 + arr[i][j]);
}
}
return result;
}
对于二维数组输入 [[2, 0, 4], [12, 10, 0]]，返回的 Set 内容为：______________。请以逗号分隔列表的形式在方括号内提供元素，例如 [1, 2, 0, 5]。</t>
  </si>
  <si>
    <t>外层循环自底向上处理行，内层循环从左到右处理列，对每个元素计算 `(j - i) * 10 + arr[i][j]`。结果值被添加到一个 TreeSet 中，该集合会对它们进行排序并去重，最终得到 [2, 10, 24]。</t>
  </si>
  <si>
    <t>与标准的基于数组的表示相比，多重链表的主要优势是什么？（选择所有适用选项。） 
A. 多重链表能更快地更新矩阵元素。 
B. 矩阵运算（例如乘法）在使用多重链表时通常更快。 
C. 如果矩阵是稀疏的（非零元素较少），多重链表可以节省空间。</t>
  </si>
  <si>
    <t>对于稀疏矩阵，多重链表通过仅存储非零元素来节省空间，这与数组为包括零在内的所有元素分配空间的做法不同。</t>
  </si>
  <si>
    <t>在一个简单的二叉搜索树中，删除节点 p 时是否需要替换键取决于 p 的结构。考虑删除的三种标准情况：p 没有子节点、有一个子节点或有两个子节点。
关于删除过程，以下哪些说法是正确的？（选择所有正确选项。） 
A. 如果 p 是根节点，则总是需要替换。 
B. 如果 p 是叶节点，则总是需要替换。 
C. 如果 p 有两个非空子节点，则总是需要替换。 
D. 替换的最佳选择必须来自 p 的右子树。 
E. 每次删除操作最多需要一个替换键。</t>
  </si>
  <si>
    <t>在二叉搜索树中，具有两个子节点的节点始终需要从其前驱或后继节点获取替换键以维持顺序，且每次删除最多使用一次此类替换。</t>
  </si>
  <si>
    <t>直接内存访问（DMA）相比传统的可编程I/O能提升系统性能，主要因为它： 
A. 无需操作系统检查状态寄存器 
B. 降低对共享内存总线的争用 
C. 允许在用户代码运行时进行设备与内存间的数据传输 
D. 使用特殊的I/O地址访问设备 
E. 在执行I/O时避免使用中断 
F. 避免使用总线适配器</t>
  </si>
  <si>
    <t>DMA提升性能的主要方式是通过允许设备与内存之间的数据传输与CPU执行用户代码同时进行，将传输任务从CPU卸载，从而提高系统吞吐量。</t>
  </si>
  <si>
    <t>考虑一个使用重做日志的文件系统，它执行一个重命名操作，该操作需要写入目录条目以及（为更新修改时间）目录inode。文件系统将更新日志以包含此重命名操作_______。 
A. 在与更新目录条目和目录inode本身的同一磁盘写入中 
B. 在对目录条目和目录inode进行相应更新之前 
C. 在相应的目录条目更新之后，并在相应的目录inode更新之前 
D. 以上都不是；文件系统可以任意安排日志更新与目录条目及inode更新的顺序 
E. 在对目录条目和目录inode进行相应更新之后 
F. 以上都不是；文件系统不会为此操作使用日志</t>
  </si>
  <si>
    <t>在重做日志中，日志必须在任何实际数据更新之前写入磁盘，以确保崩溃恢复，因此重命名操作的日志条目会在修改目录项和索引节点之前记录。</t>
  </si>
  <si>
    <t>考虑一个具有快照功能的基于inode的写时复制文件系统。以下哪些说法是正确的？请选择所有正确选项。 
A. 向文件追加数据将需要创建文件inode的新副本 
B. 向文件追加数据将需要创建文件所有数据的新副本 
C. 向文件追加数据将需要创建文件目录项的新副本 
D. 在目录间转移文件需要创建文件数据的新副本 
E. 覆盖现有文件数据需要将新数据写入磁盘上的不同位置 
F. 此文件系统无法同时支持重做日志或日志功能</t>
  </si>
  <si>
    <t>在具有快照功能的写时复制文件系统中，修改文件的元数据（例如追加数据时的大小）需要复制其inode以保留旧版本。同样，覆盖现有数据时会写入新的磁盘位置以保持快照完整性，而未修改的数据则保持共享。</t>
  </si>
  <si>
    <t>关于POSIX套接字API的以下哪些说法是正确的？请选择所有适用项。 
A. 服务器要同时处理多个客户端，必须多次调用listen()和/或bind() 
B. 已连接客户端的套接字会在客户端机器上分配一个端口号 
C. 要将TCP套接字作为客户端连接，必须指定远程DNS名称 
D. 要将TCP套接字作为客户端连接，必须指定远程端口号 
E. 当连接的一端向套接字write()时，另一端将通过恰好一次read()调用接收写入的数据（假设它确实接收到数据）</t>
  </si>
  <si>
    <t>A 错误；listen()/bind() 每个服务器套接字仅调用一次。 
B 正确；客户端套接字会获得一个本地临时端口。 
C 错误；仅远程 IP 地址并不足够。 
D 正确；`connect()` 需要远程端口号。 
E 错误；TCP 是字节流协议，因此 write/read 调用并非一一对应。</t>
  </si>
  <si>
    <t>以下哪些是支持无状态服务器的客户端/服务器文件系统协议可能具有的属性？请选择所有适用项。 
A. 客户端可以通过一次操作写入整个文件 
B. 文件更新时，服务器可以通知缓存了该文件副本的客户端 
C. 与服务器通信时，客户端使用进程ID和打开的文件描述符编号来标识打开的文件 
D. 为了在不中断客户端的情况下从服务器故障中恢复，服务器需要记录有关活动客户端信息的日志 
E. 写入的值可以立即被后续读取反映（只要不考虑缓存） 
F. 服务器需要获知客户端崩溃或断电的情况，以避免内存泄漏</t>
  </si>
  <si>
    <t>无状态服务器独立处理每个请求，不存储客户端特定数据。A和E是可能的，因为它们涉及自包含的操作，不需要服务器维持状态，而其他选项则需要服务器跟踪客户端信息。</t>
  </si>
  <si>
    <t>识别需要虚拟机监控程序修改或切换影子页表的操作。选择所有适用项。 
A. 客户操作系统执行特权指令以读取键盘输入。 
B. 客户操作系统内核更改其页表。 
C. 客户操作系统中的程序调用系统调用。 
D. 当客户操作系统处理在客户操作系统内核运行时触发的中断时。</t>
  </si>
  <si>
    <t>虚拟机监控程序必须在客户操作系统修改其页表条目或更改活动页表指针时更新影子页表，例如在系统调用从用户空间切换到内核空间期间。</t>
  </si>
  <si>
    <t>从以下特征中选出属于机器指令集架构的组成部分： 
A. 寄存器数量。 
B. 执行单条指令所需的机器周期数。 
C. 特定指令执行时对内存和寄存器的影响。 
D. 条件码及其触发条件。 
E. 可用的内存寻址模式。 
F. 机器字长。</t>
  </si>
  <si>
    <t>A、C、D、E、F</t>
  </si>
  <si>
    <t>指令集架构定义了软件可见的接口，包括寄存器数量、指令语义、条件码、寻址模式和字长。执行指令所需的周期数是微架构的实现细节，不属于指令集架构的一部分。</t>
  </si>
  <si>
    <t>在程序执行过程中，将程序从磁盘复制到物理内存发生在哪个阶段？ 
A. 编译器 
B. 汇编器 
C. 链接器 
D. 加载器</t>
  </si>
  <si>
    <t>加载器将可执行文件从磁盘复制到物理内存中，为执行做好准备，而编译器、汇编器和链接器则负责处理更早的翻译和链接阶段。</t>
  </si>
  <si>
    <t>在CALL的哪个阶段确定指针运算的增量大小？ 
A. 编译器 
B. 汇编器 
C. 链接器 
D. 加载器</t>
  </si>
  <si>
    <t>增量大小由编译器决定，编译器根据数据类型将指针运算转换为具有正确偏移量的汇编指令。</t>
  </si>
  <si>
    <t>在一个具有32 TiB虚拟地址空间和单级页表的系统中，每个页的大小为256 KiB。TLB缺失概率为0.2，缺页概率为0.002。TLB访问需要5个周期，而从磁盘传输一个页需要1,000,000个周期。物理地址空间为4 GiB，访问需要500个周期。一个物理索引且物理标记的L1缓存访问时间为5个周期，命中率为50%。在TLB缺失时，MMU接下来会检查物理内存。虚拟页号有多少位？_____ 位</t>
  </si>
  <si>
    <t>虚拟地址空间为32 TiB，需要45位地址，每个256 KiB页使用18位作为页内偏移，剩余27位用于虚拟页号。</t>
  </si>
  <si>
    <t>一个具有32 TiB虚拟地址空间的系统使用单级页表，其中每页大小为256 KiB。TLB缺失概率为0.2，缺页概率为0.002。TLB访问需要5个周期，从磁盘传输一页需要1,000,000个周期。物理地址空间为4 GiB，访问需要500个周期。一个物理索引和标记的L1缓存访问时间为5个周期，命中率为50%。在TLB缺失时，MMU会继续访问物理内存。假设每个页表项仅包含转换信息而无权限位或其他元数据，页表的总大小是多少比特？____比特</t>
  </si>
  <si>
    <t>页表大小由表项数量和每项位数决定。虚拟地址空间为32 TiB，页大小为256 KiB，因此共有 \(2^{27}\) 个虚拟页。物理地址空间为4 GiB，每个页表项需要14位表示物理页号。因此总大小为 \(14 \times 2^{27}\) 位。</t>
  </si>
  <si>
    <t>在两个核心上并发执行以下代码后，x 的所有可能取值是什么？ 
int x = 1; 
int y = 1; 
#pragma omp parallel 
{ 
x += 1; 
y = x + y; 
} 
x: 
A. 0, B. 1, C. 2, D. 3, E. 4, F. 5, G. 6, H. 7, I. 8, J. 9</t>
  </si>
  <si>
    <t>并发执行后，如果两个核心都在更新前读取到x=1，则x可能为2；如果其中一个核心先将x更新为2，另一个核心随后读取该值，则x可能为3。</t>
  </si>
  <si>
    <t>以下代码在两个核心上并发执行后，y 的所有可能取值是什么？ 
int x = 1; 
int y = 1; 
#pragma omp parallel 
{ 
x += 1; 
y = x + y; 
} 
选项： 
A. 0, B. 1, C. 2, D. 3, E. 4, F. 5, G. 6, H. 7, I. 8, J. 9</t>
  </si>
  <si>
    <t>y的可能取值为3、4、5、6和7，因为两个线程对共享变量x和y的并发更新可能导致不同的执行交错顺序和最终求和结果。</t>
  </si>
  <si>
    <t>虚拟内存实现了以下哪些功能？（选择所有适用项） 
A. 使程序看似不必与其他程序共享地址空间。 
B. 使计算机系统更稳定和安全。 
C. 将整个地址空间专门划分为静态区、代码区、堆区和栈区四个部分。 
D. 使系统看起来拥有容量如DRAM、访问速度如磁盘的存储空间。</t>
  </si>
  <si>
    <t>虚拟内存为每个进程提供独立的地址空间，营造出不共享内存的假象（A），并通过隔离进程防止未授权访问来提升系统稳定性与安全性（B）。</t>
  </si>
  <si>
    <t>以下关于多级页表的陈述中，哪些是正确的？ 
A. 与单级页表相比，它们减少了内存碎片 
B. 它们减少了表示稀疏地址空间所需的内存量 
C. 它们提高了虚拟地址到物理地址的转换速度 
D. 它们比单级页表需要更少的内存访问次数 
E. 它们使得写时复制等内存共享技术更易于实现</t>
  </si>
  <si>
    <t>多级页表通过仅分配必要的页表来为稀疏地址空间节省内存，这与单级页表需要为所有页面保留条目不同。它们还通过允许高效共享和复制页表结构，促进了写时复制机制。</t>
  </si>
  <si>
    <t>The control input signal that enables transferring the content of the bus into a register in the basic computer design is designated as ________________.</t>
  </si>
  <si>
    <t>LD (or Load)</t>
  </si>
  <si>
    <t>In basic computer architecture, LD is the control signal that loads bus data into a register during a clock pulse by enabling its parallel input lines for synchronous transfer.</t>
  </si>
  <si>
    <t>If your input image is 64x64x16, how many parameters are there in a single 1x1 convolution filter, including bias?
A) 2
B) 17
C) 4097
D) 1</t>
  </si>
  <si>
    <t>A 1×1 filter processes all input channels, so it has 16 weights (one per channel) plus one bias, totaling 17 parameters. The other options incorrectly ignore the channel depth or misapply spatial dimensions.</t>
  </si>
  <si>
    <t>You are randomly (with a uniform distribution) searching for the best β1 parameter for the Adam optimizer in the range of values [0.9; 0.999], the probability of choosing β1 such that β1 &lt; 0.94 is ______ (nearest to 3 decimal places).</t>
  </si>
  <si>
    <t>For a uniform distribution, probability is the ratio of the target interval width to the total range width. Here, the calculation is $(0.94 - 0.9) / (0.999 - 0.9) = 0.04 / 0.099$, which equals approximately 0.404.</t>
  </si>
  <si>
    <t>Consider a convolutional neural network block whose input size is 64 ×64 ×8. The block consists of the following layers: A convolutional layer 32 filters with height and width 3 and 0 padding which has both a weight and a bias (i.e. CONV3-32); A 2 ×2 max-pooling layer with stride 2 and 0 padding (i.e. POOL-2); A batch normalization layer (i.e. BATCHNORM). The number of parameters of the layers is ______.</t>
  </si>
  <si>
    <t>The 3 × 3 convolution holds (3 × 3 × 8) = 72 weights and one bias per filter, yielding (72 + 1) × 32 = 2336 learnable parameters, while max-pooling and this batch-normalization layer add none.</t>
  </si>
  <si>
    <t>Which of the following orderings (from smallest to largest) of common time complexities is correct?
A) O(n) ≤ O(1) ≤ O(log n) ≤ O(2^n) ≤ O(n^2)
B) O(1) ≤ O(log n) ≤ O(n) ≤ O(n log n) ≤ O(n^2) ≤ O(n^3) ≤ O(2^n)
C) O(n^3) ≤ O(n^2) ≤ O(n log n) ≤ O(n)
D) O(2^n) ≤ O(n^3) ≤ O(n^2) ≤ O(n)</t>
  </si>
  <si>
    <t>The correct ordering reflects asymptotic growth rates: constant O(1) is smallest, logarithmic O(log n) grows slower than linear O(n), polynomial complexities O(n²), O(n³) increase with exponent, and exponential O(2ⁿ) is largest for large n, making B correct.</t>
  </si>
  <si>
    <t>In the Timestamp Ordering concurrency control protocol, the ______ Rule states that if a transaction tries to write a value with a timestamp lower than the object's current write-timestamp, the write can be safely ignored (rather than aborting the transaction) because it has effectively been overwritten by a "future" update.</t>
  </si>
  <si>
    <t>Thomas Write</t>
  </si>
  <si>
    <t>The Thomas Write Rule optimizes concurrency by ignoring outdated writes. Since a newer transaction has already updated the data, the late write is redundant. This prevents unnecessary aborts while maintaining view serializability by preserving the final database state.</t>
  </si>
  <si>
    <t>In a general tree, the number of subtrees per node is fixed and equal for all nodes.</t>
  </si>
  <si>
    <t>General trees allow nodes to have varying numbers of subtrees, unlike binary trees.</t>
  </si>
  <si>
    <t>In a pipelined CPU, each instruction consumes less time to complete than its single-cycle version.</t>
  </si>
  <si>
    <t>Pipelining reduces average completion time per instruction, not the latency of each individual instruction.</t>
  </si>
  <si>
    <t>Suppose you want to find ML estimates ˆ µk and ˆ σk for parameters µk and σk . Will the ML
expressions have the same form as those obtained for the means and variances in a mixture of
gaussians? Explain in one line. (Hint: Write down the terms in ⟨lc(θ; x, y)⟩ that are relevant to the
optimization (i.e, contain µk and σk) )</t>
  </si>
  <si>
    <t>Yes, the ML expressions will have same form. The relevant term in ⟨lc(θ; x, y)⟩ is only the last term, which closely resembles the expected complete log-likelihood for a gaussian mixture model. In this case the p(y = 1|x) term is computed using the forward backward algorithm rather than by simply using Bayes rule (as is done for a mixture of gaussians).</t>
  </si>
  <si>
    <t>No, because the complete-data log-likelihood for labeled data includes only the terms for the assigned class k, unlike the mixture model where responsibilities weight contributions from all components.</t>
  </si>
  <si>
    <t>Which statements about computational aspects of k-NN are true? (Select all that apply.)
A) Testing time complexity is O(m) for brute force search over m training points.
B) k-d trees accelerate nearest neighbor queries in high-dimensional data effectively.
C) Subsampling training data can reduce computational cost while retaining representative information.
D) Training phase of k-NN involves solving an optimization problem.</t>
  </si>
  <si>
    <t>Brute force k-NN requires $O(m)$ distance computations during testing, and subsampling reduces this overhead by decreasing the training set size. k-d trees fail in high dimensions, and k-NN is a lazy learner with no training optimization phase.</t>
  </si>
  <si>
    <t>Which of the following statements about C control statements are correct? (Select all that apply.)
A) The switch-case statement can evaluate multiple variables in one expression.
B) The if-else-if ladder is suitable when testing multiple conditions on a single variable.
C) Jump statements transfer control from one part of the program to another.
D) The else part in an if-else statement is optional.</t>
  </si>
  <si>
    <t>B is correct because if-else-if ladders test sequential conditions on one variable. C is correct as jump statements like break or goto alter program flow. D is correct because an if statement can stand alone without an else. A is incorrect as switch evaluates only one expression.</t>
  </si>
  <si>
    <t>A circular doubly linked list contains NULL in the previous pointer of the first node and NULL in the next pointer of the last node.</t>
  </si>
  <si>
    <t>In a circular doubly linked list, the first node's previous pointer points to the last node, and the last node's next pointer points to the first node, eliminating NULL pointers.</t>
  </si>
  <si>
    <t>Which of the following statements about stacks and their typical applications are correct? (Select all that apply.)
A) Stacks follow the FIFO (First-In-First-Out) principle.
B) Stacks can be implemented using arrays or linked lists.
C) Stacks are commonly used in expression evaluation and converting infix to postfix notation.
D) The peek() function removes the top element from the stack.</t>
  </si>
  <si>
    <t>Stacks follow LIFO, not FIFO, making A incorrect. B is correct as arrays and linked lists are standard implementations. C is correct for expression parsing. D is incorrect because peek() only views, not removes, the top element.</t>
  </si>
  <si>
    <t>You are designing Use Cases for a University Auction System. You are debating what to include in the Use Case description for "Make a Bid.” Which of the following elements should be included in a properly formed Use Case? (Select all that apply.)
A) The internal algorithms used to encrypt the bid data. 
B) A "Main Success Scenario" describing the interaction if nothing fails. 
C) "Exception Scenarios" describing what happens if the bid is lower than the current highest bid. 
D) A primary actor who initiates the Use Case to achieve a goal.</t>
  </si>
  <si>
    <t>Proper use cases focus on user-system interactions, including primary actors, success scenarios, and error handling. Internal implementation details like encryption algorithms are excluded as they describe how the system works rather than what the system does for the user.</t>
  </si>
  <si>
    <t>The __________ method of collision resolution in hashing stores all colliding elements in a linked list attached to the same hash table slot.</t>
  </si>
  <si>
    <t>chaining</t>
  </si>
  <si>
    <t>Chaining handles hash collisions by linking all records that map to the same index into a list. This approach allows the hash table to store more elements than available slots, preventing data loss without requiring complex probing sequences.</t>
  </si>
  <si>
    <t>In a hash table using linear probing, insertion of keys causes clustering, which can degrade the performance of search operations.</t>
  </si>
  <si>
    <t>Linear probing creates contiguous blocks of occupied slots, increasing average search time.</t>
  </si>
  <si>
    <t>The T flip-flop complements its output state on every clock pulse only when its input T is 1.</t>
  </si>
  <si>
    <t>The T flip-flop's characteristic equation $Q(t+1) = T \oplus Q(t)$ dictates that toggling only occurs when the input $T$ is high.</t>
  </si>
  <si>
    <t>Each node in an unrolled linked list contains an array of elements and must maintain a minimum storage utilization, typically at least _________% full.</t>
  </si>
  <si>
    <t>Each node must be at least 50% full to ensure efficient memory usage and prevent excessive fragmentation, as maintaining this minimum utilization balances the benefits of arrays with the flexibility of linked lists.</t>
  </si>
  <si>
    <t>Cybersecurity</t>
  </si>
  <si>
    <t>In Role-Based Access Control (RBAC), permissions are assigned directly to users, ensuring that each user has a unique set of access rights tailored to their specific job function.</t>
  </si>
  <si>
    <t>In RBAC, permissions are assigned to roles, not directly to users, who are then assigned roles.</t>
  </si>
  <si>
    <t>Explain the term stored procedure, and give examples why stored procedures are
useful.</t>
  </si>
  <si>
    <t>Stored procedures are programs that run on the database server and can be
called with a single SQL statement. They are useful in situations where the
processing should be done on the server side rather than the client side. Also,
since the procedures are centralized to the server, code writing and maintenance
is simplified, because the client programs do not have to duplicate the application
logic. Stored procedures can also be used to reduce network communication; the
results of a stored procedure can be analyzed and kept on the database server.</t>
  </si>
  <si>
    <t>A stored procedure is a precompiled SQL code block stored in a database for reuse. It enhances performance by reducing network traffic, improves security via access control, and ensures data integrity by centralizing business logic.</t>
  </si>
  <si>
    <t>What benefits do unrolled linked lists provide over traditional linked lists, and in what scenarios are they most effective?</t>
  </si>
  <si>
    <t>Unrolled linked lists combine the cache efficiency and memory locality of arrays with the dynamic sizing of linked lists by storing multiple elements in each node. This reduces pointer overhead and improves cache performance, making insertions and deletions more efficient at the node level. They are especially effective in applications requiring frequent insert/delete operations with large datasets where memory overhead and cache misses need to be minimized</t>
  </si>
  <si>
    <t>Unrolled linked lists reduce memory overhead and improve cache locality by storing multiple elements per node, making them most effective for sequential access patterns where bulk operations and reduced pointer traversal enhance performance.</t>
  </si>
  <si>
    <t>In the context of file organization, which indexing technique is most suitable for very large files containing millions of records?
A) Simple indexing
B) Multi-level indexing
C) Sparse indexing
D) Hashed indexing</t>
  </si>
  <si>
    <t>Multi-level indexing efficiently handles large files by creating a hierarchy of indexes, reducing disk accesses. Simple indexing is impractical for millions of records, sparse indexing is for ordered files, and hashed indexing is for direct access, not sequential.</t>
  </si>
  <si>
    <t>Explain the statement that relational algebra operators can be composed. Why is the ability to compose operators important?</t>
  </si>
  <si>
    <t>Every operator in relational algebra accepts one or more relation instances as arguments and the result is always an relation instance. So the argument of one operator could be the result of another operator. This is important because, this makes it easy to write complex queries by simply composing the relational algebra operators.</t>
  </si>
  <si>
    <t>Relational algebra operators can be composed because each operator takes a relation as input and produces a relation as output, allowing them to be chained. This composition is fundamental for building complex queries from simple operations.</t>
  </si>
  <si>
    <t>When CPU is executing a Program that is part of the Operating System, it is said to be in ______ mode.</t>
  </si>
  <si>
    <t>System</t>
  </si>
  <si>
    <t>System mode, also known as privileged or kernel mode, allows the CPU to execute restricted instructions and access protected memory regions. This hardware-enforced state ensures that the operating system can manage resources securely while preventing user applications from interfering with system stability.</t>
  </si>
  <si>
    <t>Explain the mechanics of an "Invalid Curve Attack" against a server using Elliptic Curve Diffie-Hellman (ECDH). If the server computes the shared secret $k \cdot P_{sender}$ without validating that point $P_{sender}$ is on the standard curve, what does the attacker gain?</t>
  </si>
  <si>
    <t>Elliptic curve point addition formulas often work for any point $(x, y)$ regardless of the curve parameter $b$. If the server doesn't validate that the point is on the correct curve, it effectively performs the computation on a "twist" curve defined by the attacker's point. The attacker chooses a point on a curve with a small subgroup order (smooth order). This allows them to use the Pohlig-Hellman algorithm to solve the Discrete Logarithm problem and recover the server's private key $k$ modulo small factors, eventually reconstructing the full key.</t>
  </si>
  <si>
    <t>An attacker can send an invalid point on a different curve with a small subgroup, causing the server to compute a shared secret that reveals partial information about its private key through solving the discrete logarithm in the small subgroup.</t>
  </si>
  <si>
    <t>Explain prototyping in the software process.</t>
  </si>
  <si>
    <t>The prototyping model is applied when detailed information related to input and output requirements of the system is not available. In this model, it is assumed that all the requirements may not be known at the start of the development of the system. It is usually used when a system does not exist or in case of a large and complex system where there is no manual process to determine the requirements. This model allows the users to interact and experiment with a working model of the system known as prototype. The prototype gives the user an actual feel of the system.
At any stage, if the user is not satisfied with the prototype, it can be discarded and an entirely new system can be developed. Generally, prototype can be prepared by the approaches listed below.
By creating main user interfaces without any substantial coding so that users can get a feel of how the actual system will appear.
By abbreviating a version of the system that will perform limited subsets of functions.
By using system components to illustrate the functions that will be included in the system to be developed .
Using the prototype, the client can get an actual feel of the system. So, this case of model is beneficial in the case when requirements cannot be freezed initially.
This prototype is developed based on the currently known requirements. Development of the prototype obviously undergoes design, coding, and testing, but each of these phases is not done very formally or thoroughly.
By using this prototype, the client can get an actual feel of the system, because the interactions with the prototype can enable the client to better understand the requirements of the desired system.</t>
  </si>
  <si>
    <t>Prototyping is an iterative approach to develop a preliminary model of a system to clarify requirements and design, allowing for early user feedback and risk reduction before full-scale implementation.</t>
  </si>
  <si>
    <t>Consider the following scenario: Emp(\underline{eid: integer}, sal: integer, age: real, did: integer); Dept(\underline{did: integer, projid: integer}, budget: real, status: char(10)); Proj(\underline{projid: integer}, code: integer, report: varchar). Assume that each Emp record is 20 bytes long, each Dept record is 40 bytes long, and each Proj record is 2000 bytes long on average. There are 20,000 tuples in Emp, 5000 tuples in Dept (note that did is not a key), and 1000 tuples in Proj. Each department, identified by did, has 10 projects on average. The file system supports 4000 byte pages, and 12 buﬀer pages are available. All following questions are based on this information. You can assume uniform distribution of values. State any additional assumptions. The cost metric to use is the number of page I/Os. Ignore the cost of writing out the final result. Consider the following two queries: “Find all employees with age = 30” and “Find all projects with code = 20.” Assume that the number of qualifying tuples is the same in each case. If you are building indexes on the selected attributes to speed up these queries, for which query is a clustered index (in comparison to an unclustered index) more important?</t>
  </si>
  <si>
    <t>The question specifies that the number, rather than the fraction, of qualifying tuples is identical for the two queries. Since Emp tuples are small, many will fit on a single page; conversely, few (just 2) of the large Proj tuples will fit on a page. Since we wish to minimize the number of page I/Os, it will be an advantage if the Emp tuples are clustered with respect to the age index (all matching tuples will be retrieved in a few page I/Os). Clustering is not as important for the Proj tuples since almost every matching tuple will require a page I/O, even with clustering.</t>
  </si>
  <si>
    <t>A clustered index is more important for the project query because Proj records are large (2000 bytes), so each qualifying tuple likely requires a separate page access with an unclustered index, while a clustered index groups them efficiently.</t>
  </si>
  <si>
    <t>Consider a B+ Tree of order d (where every node has between d and 2d entries, except the root). When splitting a leaf node that is full (has 2d entries), what happens to the middle key that is promoted to the parent?
A) The key is removed from the leaf and inserted strictly into the parent.
B) The key is copied to the parent, but a copy is also retained in the new leaf node.
C) The key is discarded because internal nodes only store pointers.
D) The key pushes the parent to split immediately, regardless of the parent's current capacity.</t>
  </si>
  <si>
    <t>In B+ trees, leaf nodes store actual data entries, so when a leaf splits, the middle key is copied to the parent as a separator while remaining in the leaf to preserve the data record, unlike in B-trees where it is moved.</t>
  </si>
  <si>
    <t>Describe the concept of multi-linked lists and explain how they can be utilized to represent sparse matrices efficiently.</t>
  </si>
  <si>
    <t>Multi-linked lists extend the idea of linked lists by allowing each node to have multiple pointers to other nodes, which facilitates different orderings or views of the same data set. In the context of sparse matrices, where most elements are zero, multi-linked lists can represent only the non-zero elements with row and column pointers, thus saving memory and allowing efficient traversal along rows and columns. This avoids the space wastage of storing zero elements in conventional two-dimensional arrays</t>
  </si>
  <si>
    <t>A multi-linked list uses nodes with multiple pointers to connect elements in multiple dimensions, enabling efficient sparse matrix representation by storing only non-zero entries and linking them by row and column for fast traversal and operations.</t>
  </si>
  <si>
    <t>The worst-case time complexity of searching in a binary search tree (BST) is O(log n).</t>
  </si>
  <si>
    <t>A BST can degenerate into a linear chain, resulting in O(n) search time.</t>
  </si>
  <si>
    <t>In multi-class classification using Support Vector Machine (SVM), which of the following approaches are valid? (Select all that apply.)
A) One-vs-one: Train binary classifiers for each pair of classes and aggregate predictions.
B) One-vs-rest: Train classifiers to distinguish one class against all others.
C) Direct multi-class SVM training without decomposition is the most commonly used method.
D) One-vs-rest requires fewer classifiers than one-vs-one.</t>
  </si>
  <si>
    <t>One-vs-one and one-vs-rest are standard decomposition methods for SVM multi-class classification. Direct multi-class SVM is not the most common; one-vs-rest uses fewer classifiers than one-vs-one.</t>
  </si>
  <si>
    <t>Given two caches with the same size on two computers (the other parts of the computers are the same), the set-associative four-way cache has a lower miss rate than the two-way cache when the computers run the same program.</t>
  </si>
  <si>
    <t>Increasing associativity reduces conflict misses but not capacity misses, which dominate for same-size caches.</t>
  </si>
  <si>
    <t>20. Which of the following tools would you first use to debug an application which is exiting with the error “Segmentation fault”?
A) gdb
B) strace
C) strings
D) objdump</t>
  </si>
  <si>
    <t>A segmentation fault indicates a memory access violation, and gdb is a debugger that can run the program, catch the fault, and inspect the exact state of execution to identify the invalid memory reference.</t>
  </si>
  <si>
    <t>A 4-bit LFSR with feedback polynomial x^4 + x + 1 is initialized with 1111. What is the maximum sequence length before repetition?
A) 16
B) 15
C) 4
D) 31</t>
  </si>
  <si>
    <t>The polynomial is primitive, so the LFSR cycles through all 2^4 - 1 = 15 non-zero states. The all-zero state is excluded from the maximal-length cycle, making 15 the maximum sequence length.</t>
  </si>
  <si>
    <t>Which of the following are examples of sequential data structures? (Select all that apply.)
A) Arrays
B) Linked Lists
C) Trees
D) Stacks (when implemented using arrays)</t>
  </si>
  <si>
    <t>Arrays and linked lists store elements in a linear order, making them sequential. Stacks, when implemented using arrays, also maintain sequential access. Trees are hierarchical, not sequential, as they do not store elements in a linear sequence.</t>
  </si>
  <si>
    <t>How do instruction addressing modes improve programming flexibility and efficiency? Provide examples of at least two addressing modes.</t>
  </si>
  <si>
    <t>Addressing modes define rules for interpreting the address field in instructions, enabling diverse ways to access operands. For example, direct addressing uses the address field as the memory location of the operand, providing straightforward access. Indirect addressing uses the address field to point to a memory location that holds the effective address, enabling dynamic operand referencing and pointers. These modes enhance programming flexibility by supporting arrays, loops, and dynamic data structures efficiently, while also minimizing instruction size for common cases.</t>
  </si>
  <si>
    <t>Instruction addressing modes allow flexible operand access, improving code efficiency by reducing memory accesses and enabling compact code. For example, immediate mode embeds data directly, while indexed mode calculates addresses dynamically, both streamlining operations and enhancing adaptability.</t>
  </si>
  <si>
    <t>Which of the following statements about file organizations and indexing techniques are true? (Select all that apply.)
A) Sequential file organization stores records one after another.
B) Indexed sequential access method (ISAM) uses cylinder surface indexing.
C) Multi-level indexing is used to handle large files with millions of records.
D) Inverted files reorganize data to provide fast access to all records having a field falling within set limits.</t>
  </si>
  <si>
    <t>Sequential organization stores records contiguously. ISAM utilizes hardware-aligned cylinder surface indexing for efficiency. Multi-level indices manage scale by reducing search depth for large volumes. Inverted files map field values to record pointers, facilitating rapid range and keyword filtering.</t>
  </si>
  <si>
    <t>Which of the following statements about priority search trees (PSTs) are true? (Select all that apply.)
A) PST can be constructed by augmenting BSTs with max-heap order on y-coordinate.
B) Each node stores a pilot point defined as the highest point in its slab excluding ancestors’ pilot points.
C) PST can answer 4-sided queries in O(log² n + k) time directly.
D) All of the above</t>
  </si>
  <si>
    <t>A PST is a BST on x with max-heap order on y, so A is true. The pilot point is the highest point in its slab, excluding ancestors, making B true. PSTs answer 3-sided queries directly; 4-sided queries require a secondary structure, so C is false.</t>
  </si>
  <si>
    <t>The running time complexity of merge sort is ______ in the worst case.</t>
  </si>
  <si>
    <t>O(n log n)</t>
  </si>
  <si>
    <t>Merge sort recursively divides the array into halves and then merges them, performing a logarithmic number of divisions and linear work per level, resulting in a worst-case time complexity of O(n log n).</t>
  </si>
  <si>
    <t>Suppose that a DBMS recognizes increment, which increments an integer-valued object by 1, and decrement as actions, in addition to reads and writes. A transaction that increments an object need not know the value of the object; increment and decrement are versions of blind writes. In addition to shared and exclusive locks, two special locks are supported: An object must be locked in I mode before incrementing it and locked in D mode before decrementing it. An I lock is compatible with another I or D lock on the same object, but not with S and X locks. Explain how Strict 2PL guarantees serializability even in the presence of I and D locks. (Identify which pairs of actions conflict, in the sense that their relative order can aﬀect the result, and show that the use of S, X, I, and D locks according to Strict 2PL orders all conflicting pairs of actions to be the same as the order in some serial schedule.)</t>
  </si>
  <si>
    <t>The pairs of actions which conflicts are: RW, WW, WR, IR, IW, DR, DW. We know that strict 2PL orders the first 3 conflicts pairs of actions to be the same as the order in some serial schedule. We can also show that even in the presence of I and D locks, strict 2PL also orders the latter 4 pairs of actions to be the same as the order in some serial schedule. Think of an I (or D)lock under these circumstances as an exclusive lock, since an I(D) lock is not compatible with S and X locks anyway (ie. can’t get a S or X lock if another transaction has an I or D lock). So serializability is guaranteed.</t>
  </si>
  <si>
    <t>Strict 2PL ensures serializability because I and D locks conflict with S and X locks, ordering all conflicting actions (e.g., read vs. increment) by transaction commit order, while I and D locks are compatible only with each other, allowing concurrent blind writes without affecting serial order.</t>
  </si>
  <si>
    <t>Why is the sigmoid activation function susceptible to the vanishing gradient problem?</t>
  </si>
  <si>
    <t>As the input into the sigmoid becomes either too small or too large, the sigmoid output begins over-saturating and the gradient in those regimes approach 0.</t>
  </si>
  <si>
    <t>The sigmoid function compresses inputs into a range of (0,1), causing its derivative to be small for large positive or negative inputs; during backpropagation, repeated multiplication of these small gradients can cause them to vanish.</t>
  </si>
  <si>
    <t>In the basic computer, the register transfer microoperation AC ← AC +DR and setting the extended accumulator flip-flop E ← Cout occurs during timing signal T______ (enter a value).</t>
  </si>
  <si>
    <t>In the Mano basic computer, memory-reference instructions like ADD perform the effective address calculation during T4. The actual addition and carry bit update occur during T5, after the data operand has been fetched from memory into the DR.</t>
  </si>
  <si>
    <t>Which one of the following statements is false?
A) The data dictionary is normally maintained by the database administrator.
B) Data elements in the database can be modified by changing the data dictionary.
C) The data dictionary contains the name and description of each data element.
D) The data dictionary is a tool used exclusively by the database administrator.</t>
  </si>
  <si>
    <t>Users should not change or remove any data from any data dictionary table. In order to confirm that schema objects are there and that users have the appropriate access to them, Oracle reads the data dictionary while the database is in use.</t>
  </si>
  <si>
    <t>Select the query descriptions below for which using a clustered B+tree index instead of an unclustered B+tree index would noticeably improve performance. (Select all that apply.)
A) A range query over a reasonably large range (e.g. 3.6 &lt; Student.gpa &lt;4.0).
B) An equality selection on a key field (e.g. Student.sid = 1001).
C) An equality selection on a field with many duplicate values (e.g. Apply.major = ′Econ′).
D) An equality selection that retrieves a single tuple regardless of physical ordering (e.g. Student.sid = 2024 when sid is a primary key).</t>
  </si>
  <si>
    <t>A clustered index physically orders data, so range queries (A) benefit from sequential access, and equality on duplicates (C) groups matching tuples together. Equality on a unique key (B, D) retrieves one tuple regardless of ordering.</t>
  </si>
  <si>
    <t>Regarding addressing modes in computer instructions, which of the following statements are correct? (Select all that apply.)
A) Addressing modes provide programming versatility like pointers and indexing.
B) Addressing modes reduce the number of bits required in instruction addresses.
C) All instructions must use immediate addressing mode.
D) Addressing modes are interpreted before operand fetching.</t>
  </si>
  <si>
    <t>Addressing modes enhance versatility (A) and can shorten instruction addresses (B), and their interpretation precedes operand fetch (D). Immediate mode (C) is not mandatory for all instructions, making it incorrect.</t>
  </si>
  <si>
    <t>The decision boundary of a linear classifier defined by F(x;w,b)= x⋅w−b is an ____________ subspace of dimension n−1 in R^n.</t>
  </si>
  <si>
    <t>affine hyperplane</t>
  </si>
  <si>
    <t>The set of points satisfying $x \cdot w - b = 0$ forms an affine hyperplane. It is a subspace translated from the origin by the bias $b$, creating a decision boundary of dimension $n-1$ that partitions the $n$-dimensional space.</t>
  </si>
  <si>
    <t>The _______ search technique improves on linear search by exploiting the ordered nature of data and estimating the probable position of the searched element.</t>
  </si>
  <si>
    <t>interpolation</t>
  </si>
  <si>
    <t>Interpolation search estimates the target's position using a linear interpolation formula, assuming uniform distribution, which allows it to skip many elements and achieve an average complexity of O(log log n) for uniformly distributed data.</t>
  </si>
  <si>
    <t>A program accesses two cache lines, one that begins at address Ox1000, and one that begins at address 0x2000. Memory accesses alternate between the two lines, and each line is accessed 100 times. If the program is run on a system with a 1-KB direct-mapped data cache with 32-byte lines, how many data cache misses will occur? How many of these misses will be compulsory, capacity, and conflict misses?</t>
  </si>
  <si>
    <t>A 1-KB cache with 32-byte lines contains 32 lines and uses bits 5 through 9 of the address to select the cache line that a line of data maps into (bits O through 4 determine the byte within the line). Since the addresses of each of these lines have Os in bits 5 through 9, they will map into the same set.
Since the program alternates between references to each line, the line being referenced will never be in the cache, as it will have been evicted to make room for the other line. Therefore, all 200 memory references (100 to each line) will result in cache misses. The first 2 of these will be compulsory misses, and the other 198 will be conflict misses. Since the total amount of data referenced by the program is less than the capacity of the cache, no capacity misses will occur.</t>
  </si>
  <si>
    <t>A satisfactory answer must compute total misses (200), then classify them: 2 compulsory (first access to each line), 0 capacity (cache fits both lines), and 198 conflict (lines map to same set, causing thrashing).</t>
  </si>
  <si>
    <t>Stack Canaries (cookies) are an effective defense against buffer overflows that overwrite local variables within the same stack frame.</t>
  </si>
  <si>
    <t>Stack canaries protect return addresses, not local variables within the same frame.</t>
  </si>
  <si>
    <t>You are designing a `Client` class that uses a `Printer`. You want to satisfy the Open-Closed Principle so that adding a new type of printer doesn't require changing the `Client` code. Which design strategies facilitate this? (Select all that apply.)
A) The `Client` should check the type of printer using a switch-statement and call the appropriate method. 
B) Create an abstract base class `Printer`. The `Client` should interact only with this abstract type. 
C) Use inheritance to create specific printer types (e.g., `LaserPrinter`) that derive from `Printer`. 
D) Ensure the `Client` is "closed" for modification (no code changes needed for new printers) but the system is "open" for extension (new printer subclasses).</t>
  </si>
  <si>
    <t>The Open-Closed Principle requires the `Client` to depend on an abstraction (`Printer`), not concrete types. Using an abstract base class (`B`) and subclasses (`C`) allows new printers to be added without modifying `Client` code (`D`). A switch statement (`A`) violates this by requiring changes for each new type.</t>
  </si>
  <si>
    <t>The postfix expression for infix expression (A + B) * C is AB+C*.</t>
  </si>
  <si>
    <t>The postfix conversion correctly applies operator precedence: parentheses force A+B first, yielding AB+, then multiplication with C gives AB+C*.</t>
  </si>
  <si>
    <t>Given 3 data points in 2-d space, (1, 1), (2, 2) and (3, 3), if we want to project the original data points into 1-d space by principle component you choose, the variance of the projected data is ______ (enter a value nearest to 2 decimal places).</t>
  </si>
  <si>
    <t>The points lie perfectly on a line, so the first principal component captures all variance. Centering the data gives $(-1, -1), (0, 0), (1, 1)$; the projected variance is the average squared distance from the mean, calculated as $(2 + 0 + 2) / 3 = 1.33$.</t>
  </si>
  <si>
    <t>The ________________ is a system register in a CPU that holds the address of the next instruction to be fetched and executed.</t>
  </si>
  <si>
    <t>program counter (or PC)</t>
  </si>
  <si>
    <t>The Program Counter (PC) stores the memory address of the next instruction. After fetching, the PC increments or is updated by branches to maintain sequential execution flow.</t>
  </si>
  <si>
    <t>Which of the following sentences about reader-writer locks is not true?
A) Many readers can hold the same rwlock at the same time
B) Two writers cannot hold the same rwlock at the same time
C) Many readers and exactly one writer can hold the same rwlock at the same time
D) An rwlock can be used as a mutex</t>
  </si>
  <si>
    <t>Reader-writer locks ensure mutual exclusion for writers to prevent data races. While multiple readers may share access, a writer requires exclusive control, meaning no readers can hold the lock simultaneously with any writer to maintain memory consistency and atomicity.</t>
  </si>
  <si>
    <t>DNS Rebinding attacks bypass the Same-Origin Policy by exploiting the short ______ value of a DNS record, allowing the attacker to swap the IP from a public address to a private local address between the browser's connectivity checks.</t>
  </si>
  <si>
    <t>TTL</t>
  </si>
  <si>
    <t>DNS Rebinding exploits the short TTL (Time-To-Live) value of a DNS record, enabling the attacker to quickly change the resolved IP from a public to a private address between browser checks, thus bypassing the Same-Origin Policy.</t>
  </si>
  <si>
    <t>In the context of machine learning data representation, which of the following statements are true? (Select all that apply.)
A) Data points are represented as vectors in $\mathbb{R}^n , where each component corresponds to a measurement (feature).
B) Images should always be converted into vectors by flattening pixels without preserving spatial structure.
C) Data matrix X is usually organized with data points as rows and features as columns.
D) Semi-supervised learning uses only unlabeled data for training.</t>
  </si>
  <si>
    <t>A is true because features map to vector components. C is true as the standard data matrix format. B is false because spatial structure is often preserved via convolutions. D is false as semi-supervised learning uses both labeled and unlabeled data.</t>
  </si>
  <si>
    <t>Which of the following techniques are primarily associated with performance optimizations in Column-Oriented stores (e.g., Snowflake, Redshift, C-Store)? (Select all that apply.)
A) Late Materialization: delaying the reconstruction of the full tuple until late in the query plan.
B) Vectorized Processing: passing batches of column values through CPU instructions (SIMD) rather than single-row iterators.
C) Run-Length Encoding: compressing consecutive identical values (highly effective since columns are stored contiguously).
D) Tuple-at-a-time processing: The Volcano iterator model used for row-stores.</t>
  </si>
  <si>
    <t>A, B, C</t>
  </si>
  <si>
    <t>Late materialization, vectorized processing, and run-length encoding exploit columnar storage by delaying row assembly, using SIMD on batches, and compressing repeats. Tuple-at-a-time processing is a row-store model, not a columnar optimization.</t>
  </si>
  <si>
    <t>Memory unit accessed by content is called ______.</t>
  </si>
  <si>
    <t>Associative Memory</t>
  </si>
  <si>
    <t>A memory unit accessed by content rather than an address is called associative memory, which enables parallel searches for data matching a specific key, making it efficient for tasks like cache lookups and database queries.</t>
  </si>
  <si>
    <t>Which of the following are considered algorithm design techniques? (Select all that apply.)
A) LIFO
B) Dynamic Programming
C) Greedy Method
D) Brute Force</t>
  </si>
  <si>
    <t>Dynamic programming, greedy method, and brute force are established algorithmic strategies for solving problems. LIFO is a data structure principle (stack operation), not a design technique for constructing algorithms.</t>
  </si>
  <si>
    <t>Why is Salting passwords essential even if strong hashing algorithms (like SHA-256) are used? (Select all that apply.)
A) It prevents the use of pre-computed Rainbow Tables.
B) It ensures that two users with the same password have different hashes.
C) It significantly slows down the hash computation time.
D) It prevents the administrator from seeing the passwords.</t>
  </si>
  <si>
    <t>Salting prevents rainbow table attacks by adding unique data to each password before hashing, ensuring identical passwords produce distinct hashes. It does not inherently slow computation or hide passwords from administrators, who can see the salts.</t>
  </si>
  <si>
    <t>Progress in machine learning has continued at a rapid pace over the past decade in spite of the fact that the cost of computing (as, for example, measured by the number of multiplies per second that can be done for a dollar) is no longer decreasing by a factor of two roughly every 18 months.</t>
  </si>
  <si>
    <t>Computing cost per operation has continued decreasing rapidly, especially with GPUs and specialized hardware, so the premise of the statement is incorrect.</t>
  </si>
  <si>
    <t>A ________________ is a component that transforms binary information from input variables to output variables, with outputs depending solely on present inputs.</t>
  </si>
  <si>
    <t>combinational circuit</t>
  </si>
  <si>
    <t>A combinational circuit processes binary inputs to produce outputs based only on the current input values, without any memory of past states, distinguishing it from sequential circuits which incorporate feedback and state retention.</t>
  </si>
  <si>
    <t>Stepwise regression finds the global optimum, minimizing its loss function (squared error plus the usual L0 penalty).</t>
  </si>
  <si>
    <t>Stepwise regression is a greedy heuristic that does not guarantee a global optimum.</t>
  </si>
  <si>
    <t>An algorithm with time complexity O(n log n) always runs faster than O(n^2) algorithms for all input sizes.</t>
  </si>
  <si>
    <t>For small input sizes, constant factors can make O(n²) faster.</t>
  </si>
  <si>
    <t>A given processor requires 1000 cycles to perform a context switch and start an interrupt handler (and the same number of cycles to context-switch back to the program that was running when the interrupt occurred), or 500 cycles to poll an I/0 device. An I/O device attached to that processor makes 150 requests per second, each of which take 10,000 cycles to resolve once the handler has been started. By default, the processor polls every 0.5 ms if it is not using interrupts. The total time spent on 1/O each second is ______ (cycles) if polling is used (include all polling attempts). (Assume that the processor only polls during timeslices when user programs are not running, so do not include any context-switch time in your calculation of polling costs.)</t>
  </si>
  <si>
    <t>The processor polls 2000 times per second, costing 1,000,000 cycles. With 150 requests per second at 10,000 cycles each, the resolution cost is 1,500,000 cycles. Summing these values gives a total of 2,500,000 cycles per second spent on I/O.</t>
  </si>
  <si>
    <t>A Left Outer Join between tables R and S ($R \times_{left} S$) is equivalent to $(R \bowtie S) \cup (R - \pi_R(R \bowtie S)) \times \{NULL\}$.</t>
  </si>
  <si>
    <t>The expression combines inner join results with tuples from R lacking matches in S, padded with null values.</t>
  </si>
  <si>
    <t>Which of the following statements accurately describe the "Write Skew" anomaly and its relationship with isolation levels? (Select all that apply.)
A) Write Skew involves two concurrent transactions reading overlapping data but modifying disjoint sets of data, resulting in a constraint violation.
B) Write Skew is prevented by the Repeatable Read isolation level.
C) Write Skew is prevented by the Serializable isolation level.
D) Snapshot Isolation (MVCC) effectively prevents Write Skew anomalies.</t>
  </si>
  <si>
    <t>Write skew occurs when concurrent transactions read overlapping data but modify disjoint subsets, potentially violating a constraint. Serializable isolation prevents it, but repeatable read does not. Snapshot isolation alone does not prevent write skew.</t>
  </si>
  <si>
    <t>The _______ algorithm design technique divides a problem into smaller subproblems, solves each subproblem recursively, and combines their solutions to solve the original problem</t>
  </si>
  <si>
    <t>divide and conquer</t>
  </si>
  <si>
    <t>The divide-and-conquer approach recursively breaks a problem into independent subproblems, solves each, and merges solutions, as seen in algorithms like merge sort, ensuring efficient solutions through problem decomposition.</t>
  </si>
  <si>
    <t>In the microinstruction format of the microprogrammed control unit, the field that specifies the microoperation(s) to be performed is subdivided into three groups of three bits each, allowing a maximum of ________________ (enter a value) microoperations per microinstruction.</t>
  </si>
  <si>
    <t>The microinstruction format has three fields (F1, F2, F3), each 3 bits wide, encoding microoperations. Only one microoperation can be specified from each field, allowing up to three microoperations per microinstruction</t>
  </si>
  <si>
    <t>The complexity of contemporary deep learning systems for vision (as measured, for example, by the number of bits of information to specify them) is coming close to that of the human visual cortex.</t>
  </si>
  <si>
    <t>The human visual cortex is vastly more complex than any current deep learning model.</t>
  </si>
  <si>
    <t>Consider a 5-bit floating-point representation based on the IEEE standard, with 1 sign bit, 2 exponent bits (bias = 1), and 2 fraction bits. The rules for normalized, denormalized, and special values (Infinity/NaN) follow the standard IEEE 754 definitions. What is the decimal value represented by the bit pattern "1 00 10"?
A) -0.5 
B) -1.0 
C) -0.25 
D) -1.25</t>
  </si>
  <si>
    <t>The exponent bits 00 signify a denormalized value with an exponent of $1-bias = 0$. The value is $(-1)^1 \times 0.10_2 \times 2^0$, which equals $-0.5$. Unlike normalized forms, denormalized numbers lack a leading implicit one.</t>
  </si>
  <si>
    <t>You have two data sets of similar size for a binary classification task. However, one contains almost entirely positive examples, and the other contains only negative examples. You would like to use both sets to train your model. Describe a scenario in which combining these two data sets could lead to a failure of the model to learn.</t>
  </si>
  <si>
    <t>Imagine training on mini-batches constructed from dataset 1 (mostly positive examples, then training on mini-batches from dataset 2 (only negative examples). The model will likely forget what it learned from the positive examples and will learn to always predict negative examples.</t>
  </si>
  <si>
    <t>Combining the datasets without balancing class distribution can cause the model to learn a trivial solution, such as always predicting the majority class, due to extreme class imbalance, leading to high accuracy but zero predictive power for the minority class.</t>
  </si>
  <si>
    <t>In the context of the CAP Theorem, why is it theoretically impossible to have a CA (Consistency + Availability) distributed system in the presence of a network partition?
A) Because Availability requires replicating data, which takes too long.
B) Because if a partition occurs, the system must choose between serving a potentially stale read (Availability) or rejecting the request to ensure correctness (Consistency).
C) Because Consistency implies using a single node, which is a single point of failure.
D) Because Partition Tolerance is not a property of the system but a property of the network.</t>
  </si>
  <si>
    <t>The CAP theorem states that during a network partition, a system cannot maintain both consistency and availability. Option B correctly describes this forced choice, while the others misrepresent the theorem's constraints or the nature of partition tolerance.</t>
  </si>
  <si>
    <t>Your model for classifying diﬀerent dog species is getting a high training set error. Which of the followings are promising things to try to improve your classifier? (Select all that apply.)
A) Use a bigger neural network
B) Get more training data
C) Increase the regularization parameter lambda
D) Increase the parameter keep prob in dropout layer (assume the classifier has dropout layers)</t>
  </si>
  <si>
    <t>High training error indicates high bias, requiring increased model capacity. Using a larger network or increasing keep_prob reduces underfitting. Conversely, more data or higher regularization typically address high variance (overfitting), which would further worsen training performance.</t>
  </si>
  <si>
    <t>What are valid reasons for splitting a dataset into training, validation, and test sets in machine learning? (Select all that apply.)
A) To prevent train-test contamination that biases evaluation.
B) To use the test set for hyperparameter tuning.
C) To evaluate generalization error accurately by using unseen data.
D) To ensure the model is validated on data not seen during training.</t>
  </si>
  <si>
    <t>Splitting prevents contamination (A) and uses unseen data to assess generalization (C) and validate on independent data (D). Using the test set for tuning (B) is incorrect as it biases the final evaluation.</t>
  </si>
  <si>
    <t>The shape of your input image is (n_h,n_w,n_c); the convolution layer uses a 1-by-1 filter with stride = 1 and padding = 0. Which of the following statements are correct? (Select all that apply.)
A) You can reduce n_c by using 1x1 convolution. However, you cannot change n_h,n_w.
B) You can use a standard maxpooling to reduce n_h,n_w, but not n_c.
C) You can use a 1x1 convolution to reduce n_h,n_w,n_c.
D) You can use maxpooling to reduce n_h,n_w,n_c.</t>
  </si>
  <si>
    <t>A 1x1 convolution preserves spatial dimensions while aggregating channel information, effectively reducing n_c. Conversely, standard maxpooling reduces spatial dimensions n_h and n_w through downsampling but operates on each channel independently, thereby leaving the channel count n_c unchanged.</t>
  </si>
  <si>
    <t>A _______ data structure supports insertion and deletion at both ends, combining the properties of stacks and queues.</t>
  </si>
  <si>
    <t>deque (double-ended queue)</t>
  </si>
  <si>
    <t>A deque, or double-ended queue, generalizes both stacks and queues by allowing insertions and deletions at both the front and rear, offering greater operational flexibility than either structure alone.</t>
  </si>
  <si>
    <t>The gradient estimated during a step of mini-batch gradient descent has on average a lower bias when the data is i.i.d. (independent and identically distributed).</t>
  </si>
  <si>
    <t>Independent identically distributed samples make the mini-batch gradient an unbiased estimator of the true gradient.</t>
  </si>
  <si>
    <t>Compare lock downgrades with upgrades. Explain why downgrades violate 2PL but are nonetheless acceptable. Discuss the use of update locks in conjunction with lock downgrades.</t>
  </si>
  <si>
    <t>A lock upgrade is to grant a transaction an exclusive lock of an object for which it already holds a shared lock. A lock downgrade happens when an exclusive lock is obtained by a transaction initially, but downgrades to a shared lock once it’s clear that this is suﬃcient. Lock downgrade violates the 2PL requirement because it reduces the locking privileges held by a transaction, and the transaction may go on to acquire other locks. But the transaction did nothing but read the object that it downgraded. So it is nonetheless acceptable, provided that the transaction has not modified the object. The downgrade approach reduces concurrency, so we introduce a new kind of lock, called an update lock, that is compatible with shared locks but not other updates and exclusive lock. By setting an update lock initially, rather than a exclusive lock as in the case of lock downgrade, we prevent conflicts with other read operations and increase concurrency.</t>
  </si>
  <si>
    <t>Lock downgrades reduce exclusivity (e.g., exclusive to shared) after releasing some locks, which violates strict 2PL's rule of holding all locks until commit. They are acceptable for increased concurrency. Update locks allow a transaction to later upgrade to exclusive or downgrade to shared, preventing deadlocks during the read-before-write phase.</t>
  </si>
  <si>
    <t>Which of the following tools would you first use to debug a network application that never appears to accept any connections?
A) gdb
B) strace
C) objdump
D) valgrind</t>
  </si>
  <si>
    <t>`strace` monitors system calls, revealing if `bind()` or `listen()` fail, which directly diagnoses connection issues. `gdb` debugs program logic, `objdump` examines binaries, and `valgrind` detects memory errors—none directly show socket system call failures like `strace`.</t>
  </si>
  <si>
    <t>A decomposition of a relational schema is said to be ______ if the natural join of the decomposed relations results in exactly the original relation, with no spurious tuples generated.</t>
  </si>
  <si>
    <t>lossless</t>
  </si>
  <si>
    <t>A decomposition is lossless if joining the decomposed relations reconstructs the original relation exactly, without introducing any extra, spurious tuples, which is essential for preserving data integrity.</t>
  </si>
  <si>
    <t>The basic computer’s instruction cycle includes fetching the instruction, decoding it, reading the effective address if indirect addressing is used, and executing the instruction.</t>
  </si>
  <si>
    <t>Indirect addressing requires an extra memory read to obtain the operand's actual address.</t>
  </si>
  <si>
    <t>You want to compute the total revenue from the Sales table. The correct SQL query is `SELECT ______(amount) FROM Sales;`.</t>
  </si>
  <si>
    <t>SUM</t>
  </si>
  <si>
    <t>The `SUM` aggregate function calculates the total of all values in the `amount` column, which is required to compute total revenue from the Sales table.</t>
  </si>
  <si>
    <t>You are evaluating a module named `Processio`. It performs initialization of variables, opens a database connection, and prints a start-up banner because all these things happen at the "start" of the program execution. How would you classify this module's Cohesion? (Select all that apply.)
A) It exhibits Temporal Cohesion because the tasks are related by time (execution). 
B) It exhibits Functional Cohesion because all tasks relate to the single goal of "processing." 
C) It exhibits Logical Cohesion because the elements perform functions in the same logical class (IO). 
D) Temporal cohesion is higher (better) than Logical cohesion, but lower than Functional cohesion.</t>
  </si>
  <si>
    <t>A is correct because tasks are grouped by when they occur (start-up). D is correct as temporal cohesion ranks above logical but below functional. B and C are incorrect as the tasks lack a single function or logical class.</t>
  </si>
  <si>
    <t>In a priority queue, elements with higher priority are always dequeued before those with lower priority, regardless of their insertion order.</t>
  </si>
  <si>
    <t>The abstract data type is defined by priority-based extraction, meaning the highest priority element is served first regardless of arrival.</t>
  </si>
  <si>
    <t>Which of the following scenarios in the Two-Phase Commit (2PC) protocol constitute a "Blocking" state where the Participant cannot make a decision? (Select all that apply.)
A) The Participant crashes before sending a VOTE.
B) The Participant sends VOTE-COMMIT, and then the Network fails, disconnecting it from the Coordinator.
C) The Coordinator sends PREPARE, and the Participant votes VOTE-ABORT.
D) The Participant sends VOTE-COMMIT, but the Coordinator crashes before writing the decision to its log.</t>
  </si>
  <si>
    <t>In 2PC, a participant blocks only if it has voted COMMIT but cannot learn the final decision due to coordinator or network failure after its vote. Scenarios B and D fit this, while A and C allow immediate abort decisions.</t>
  </si>
  <si>
    <t>The Online Certificate Status Protocol (OCSP) "Stapling" mechanism requires the web server to query the Certificate Authority (CA) for the revocation status of its own certificate and include the signed response in the TLS handshake.</t>
  </si>
  <si>
    <t>Stapling shifts revocation checks to the server, providing a signed CA response to the client during the handshake.</t>
  </si>
  <si>
    <t>Why do valid System-R style query optimizers typically restrict the search space for join trees to "Left-Deep" trees only?
A) Left-Deep trees allow fully pipelined evaluation where the inner relation of the next join comes from a base table, enabling the use of indexes.
B) Left-Deep trees are the only shape that supports Sort-Merge joins.
C) Left-Deep trees guarantee a smaller intermediate result size than Bushy trees.
D) Left-Deep trees allow parallel execution of independent sub-trees.</t>
  </si>
  <si>
    <t>Left-deep trees enable pipelining by using base tables as inner relations, allowing index usage and avoiding materialization of intermediate results, which optimizes performance. Other options are incorrect as they misrepresent join tree properties or benefits.</t>
  </si>
  <si>
    <t>Which of the following provides a discriminative learning algorithm/model for structured prediction?
A) Sum-product algorithm
B) Conditional random fields
C) Viterbi algorithm
D) Baum-Welch algorithm</t>
  </si>
  <si>
    <t>Conditional random fields are discriminative models for structured prediction, directly modeling conditional probabilities. The sum-product and Viterbi algorithms are inference methods, while Baum-Welch is a generative model training algorithm.</t>
  </si>
  <si>
    <t>Suppose an int A is stored at virtual address 0xff987cf0, while another int B is stored at virtual address 0xff987d98. If the size of a page is 0x1000 bytes, then A’s physical address is numerically less than B’s physical address.
A) Always true
B) Always false
C) Sometimes true, sometimes false
D) Not enough information</t>
  </si>
  <si>
    <t>Both addresses share virtual page 0xff987, with offsets 0xcf0 and 0xd98 respectively. Since they reside on the same page, they map to the same physical frame, and because 0xcf0 &lt; 0xd98, A's physical address is always less than B's.</t>
  </si>
  <si>
    <t>The Big O notation (O) provides a tight bound on the running time of an algorithm.</t>
  </si>
  <si>
    <t>Big O gives an upper bound, not a tight bound, which is described by Big Theta (Θ).</t>
  </si>
  <si>
    <t>To ensure high concurrency in B+ Trees, a locking technique known as ______ (or Lock Coupling) is used, where a thread acquires the lock on a child node before releasing the lock on the parent node.</t>
  </si>
  <si>
    <t>Crabbing</t>
  </si>
  <si>
    <t>Crabbing ensures safe concurrent tree traversal by acquiring a lock on a child node before releasing the parent's lock, preventing deadlocks and maintaining data consistency during insertions or deletions.</t>
  </si>
  <si>
    <t>The model in which the requirements are implemented by its category is __________ .</t>
  </si>
  <si>
    <t>Evolutionary Development Model</t>
  </si>
  <si>
    <t>The Evolutionary Development Model implements requirements incrementally by category, allowing for iterative refinement and adaptation as each functional area is developed and integrated.</t>
  </si>
  <si>
    <t>What section of memory holds the assembly for printf?
A) Stack
B) Kernel memory
C) Shared libraries
D) Heap</t>
  </si>
  <si>
    <t>The `printf` function resides in the shared C library (e.g., libc), which is loaded into the shared libraries memory section at runtime, making it accessible to all processes, unlike the stack, heap, or kernel memory.</t>
  </si>
  <si>
    <t>In Elliptic Curve Cryptography (ECC), the "Discrete Logarithm Problem" refers to the difficulty of calculating the integer $k$, given points $P$ and $Q$, such that $Q = P^k$ (exponentiation).</t>
  </si>
  <si>
    <t>In ECC, $Q = kP$ (scalar multiplication), not exponentiation.</t>
  </si>
  <si>
    <t>In multiprocessor systems, which of the following are true about memory organization and interconnection? (Select all that apply.)
A) Shared-memory multiprocessors have a common global memory accessible by all CPUs.
B) Loosely coupled systems have private local memory per processor.
C) Crossbar switch interconnection supports simultaneous transfers to multiple memory modules.
D) Time-shared common bus allows multiple processors to access memory simultaneously.</t>
  </si>
  <si>
    <t>Shared-memory systems use a global memory accessible to all CPUs, and loosely coupled systems provide private local memory per processor. A crossbar switch enables concurrent memory module transfers, while a time-shared bus permits only one access at a time.</t>
  </si>
  <si>
    <t>The process of determining the amount of time and space resources required by an algorithm is known as the ________ of Algorithms.</t>
  </si>
  <si>
    <t>Analysis</t>
  </si>
  <si>
    <t>Determining the time and space requirements of an algorithm is called its analysis, which involves evaluating computational complexity to understand efficiency and scalability.</t>
  </si>
  <si>
    <t>In a Knapsack cryptosystem, a private key is a superincreasing sequence {1, 3, 6, 13}. Modulus m=25 and multiplier n=4. Calculate the first element of the public key.
A) 4
B) 1
C) 24
D) 12</t>
  </si>
  <si>
    <t>The first private key element is 1, so the public key element is \(1 \times 4 \mod 25 = 4\). The others are incorrect as they result from miscalculations, such as using the wrong private element or modulus operation.</t>
  </si>
  <si>
    <t>Which of the following statements about graphs and traversal algorithms are true? (Select all that apply.)
A) Breadth-first search explores all neighbors before moving to next level.
B) Depth-first search uses a queue to explore nodes.
C) A spanning tree connects all vertices without cycles.
D) Kruskal’s algorithm is a greedy method to find minimum spanning trees.</t>
  </si>
  <si>
    <t>BFS explores neighbors first, making A true. DFS uses a stack, not a queue, so B is false. A spanning tree connects all vertices without cycles, so C is true. Kruskal's algorithm is a greedy MST method, making D true.</t>
  </si>
  <si>
    <t>Consider learning a (homogeneous) hidden Markov model for a part-of-speech tagging task, where observations Xt are words and hidden states Z_t are parts of speech such as ‘noun’ (N), ‘verb’ (V), ‘determiner’ (D), etc. You are given labeled training data consisting of the following two sentences with corresponding parts of speech: (N, Mary), (V, likes), (N, mountains), (D, The), (N, dog), (V, ate), (D, the), (N, candy), What is the maximum likelihood estimate of the transition probability AV,N = P(Z_t+1 = N |Z_t = V)?
A) 1
B) 1/3
C) 0
D) None of the above</t>
  </si>
  <si>
    <t>The training data shows two verb transitions: V→N in “likes mountains” and V→D in “ate the.” With one of two transitions ending in N, the maximum-likelihood estimate is ½. Options 1, 1⁄3, 0 are incorrect, leaving D.</t>
  </si>
  <si>
    <t>The ________________ mode calculates the effective address by adding a constant displacement to the content of an index register.</t>
  </si>
  <si>
    <t>indexed addressing</t>
  </si>
  <si>
    <t>Indexed addressing mode determines the effective address by summing a constant offset, or displacement, with the value stored in a dedicated index register. This mode is particularly efficient for accessing array elements by using the register as a pointer.</t>
  </si>
  <si>
    <t>Increasing the number of hidden units in an artificial neural network can ______ bias and ______ variance.</t>
  </si>
  <si>
    <t>decrease, increase</t>
  </si>
  <si>
    <t>Adding hidden units increases model capacity, allowing the network to fit complex training data more closely, which reduces bias. However, this higher complexity makes the model sensitive to noise, leading to overfitting and higher variance on unseen data.</t>
  </si>
  <si>
    <t>In a computer with a typical CISC ISA, e.g., x86, an arithemetic instruction is allowed to access memory locations to load or store data.</t>
  </si>
  <si>
    <t>CISC instructions can combine arithmetic operations with memory accesses in a single instruction.</t>
  </si>
  <si>
    <t>In graphs, the __________ matrix is a two-dimensional Boolean matrix used to represent the presence or absence of edges between vertices.</t>
  </si>
  <si>
    <t>adjacency</t>
  </si>
  <si>
    <t>An adjacency matrix uses Boolean values (0/1) to indicate edge presence between vertices in a graph, providing a compact representation for analyzing connectivity and performing graph algorithms.</t>
  </si>
  <si>
    <t>On the curve y^2 = x^3 + 2x + 2 mod 17, calculate the slope lambda required to double the point P = (5, 1).
A) 0
B) 2
C) 8
D) 13</t>
  </si>
  <si>
    <t>The slope formula for doubling is \(\lambda = \frac{3x_P^2 + a}{2y_P}\) mod 17. Substituting \(x_P=5, y_P=1, a=2\) gives \(\lambda = \frac{3(25)+2}{2} = \frac{77}{2} \equiv 13 \pmod{17}\).</t>
  </si>
  <si>
    <t>Which of the following are advantages of using linked stacks and queues over their sequential counterparts? (Select all that apply.)
A) No limited capacity constraints.
B) Simplified memory management with linked stacks.
C) Faster access to elements by index.
D) Absence of shifting elements during insertion and deletion.</t>
  </si>
  <si>
    <t>Linked structures avoid fixed capacity limits by allocating memory dynamically and eliminate the need to shift elements during updates. Unlike sequential arrays, they use available space lists for memory management but do not support efficient constant-time indexing or random access.</t>
  </si>
  <si>
    <t>Which of the following statements about asymptotic notations is true?
A) If f(n) = O(g(n)), then g(n) = O(f(n))
B) For f(n) = 9⋅2^n + n^2, f(n) = Ω(2^n)
C) Polynomial time algorithms run faster than logarithmic time algorithms for large n
D) The worst-case time complexity is always less than the average-case time complexity</t>
  </si>
  <si>
    <t>B is correct because \(9 \cdot 2^n\) dominates \(n^2\), so \(f(n) \geq c \cdot 2^n\) for large \(n\). A is false as \(O\) is not symmetric. C is false since logarithmic time is faster. D is false as worst-case can exceed average-case.</t>
  </si>
  <si>
    <t>Why is it recommended to separate theoretical study of data structures from their language-specific implementation, and how can pseudo-code help in this context?</t>
  </si>
  <si>
    <t>Separating theory from language-specific implementation prevents students from being overwhelmed by syntax and language features, allowing them to focus on fundamental concepts and algorithms. Pseudo-code serves as a language-independent way to clearly express data structure operations and algorithms, making the learning process more accessible and facilitating understanding before coding. This approach supports deeper conceptual grasp and smoother transition to implementation</t>
  </si>
  <si>
    <t>Separating theory from implementation focuses on abstract concepts, not syntax. Pseudo-code bridges this by expressing algorithms clearly without language details, enabling analysis of correctness and efficiency before coding.</t>
  </si>
  <si>
    <t>Consider the following data sets: X_train = (x^(1),x^(2),...,x^(m_train)),Y_train = (y^(1),y^(2),...,y^(m_train)); X_test = (x^(1),x^(2),...,x^(m_test)),Y_test =(y^(1),y^(2),...,y^(mtest)); You want to normalize your data before training your model. Which of the following propositions are true? (Select all that apply.)
A) The normalizing mean and variance computed on the training set, and used to train the model, should be used to normalize test data.
B) Test data should be normalized with its own mean and variance before being fed to the network at test time because the test distribution might be diﬀerent from the train distribution.
C) Normalizing the input impacts the landscape of the loss function.
D) In imaging, just like for structured data, normalization consists in subtracting the mean from the input and multiplying the result by the standard deviation.</t>
  </si>
  <si>
    <t>A is correct because using training set statistics prevents data leakage and ensures consistency with the model's learned scaling. C is correct as normalization stabilizes gradients, making optimization more efficient. B is incorrect as it introduces bias by using test statistics, and D is incorrect because image normalization often uses per-channel means.</t>
  </si>
  <si>
    <t>Say you are trying to solve a binary classification problem where the positive class is very underrepresented (e.g. 9 negatives for every positive). Describe precisely a technique which you can use during training which helps alleviate the class imbalance problem. Would you apply this technique at test time? Why or why not?</t>
  </si>
  <si>
    <t>You can oversample the positive class 9x so that the classes ”look even” during training. You would not apply this technique at test time, as it gives an inaccurate model performance metric on the dev/test set.</t>
  </si>
  <si>
    <t>A satisfactory answer must name a specific technique like oversampling, undersampling, or class weighting, explain its application during training to balance influence, and state it is not applied at test time to preserve the true data distribution for evaluation.</t>
  </si>
  <si>
    <t>Which of the following propositions are true about a CONV layer? (Select all that apply.)
A) The number of weights depends on the depth of the input volume.
B) The number of biases is equal to the number of filters.
C) The total number of parameters depends on the stride.
D) The total number of parameters depends on the padding.</t>
  </si>
  <si>
    <t>A CONV layer's weight count depends on input depth because each filter connects to all input channels. The bias count equals the number of filters, one per filter. Stride and padding affect output size but not the parameter count itself.</t>
  </si>
  <si>
    <t>You want to build a model to predict whether a startup will raise funding (label = 1) or not (label = 0) in its first year. You have access to a dataset of examples with 300 input features, including the number of founders, the number of employees, the variance in the age of the employees, etc. As a baseline model, you decide to train a logistic regression that outputs a probability \^{y}{(i)} ∈ [0,1] that a startup described by a vector of features x^{(i)} raises funding in its first year, where the predicted label of an input is chosen to be 1 when \^{y}^{(i)} ≥ 0.5 and 0 otherwise. After training your baseline logistic regression model, you decide to train a single hidden layer neural network with 80 hidden neurons on the same dataset. The total parameters this neural network have is ______.</t>
  </si>
  <si>
    <t>The input-to-hidden layer contains $300 \times 80$ weights plus 80 biases. The hidden-to-output layer adds $80 \times 1$ weights and 1 bias. Summing these results in $24000 + 80 + 80 + 1 = 24161$ total trainable parameters.</t>
  </si>
  <si>
    <t>The Clock replacement algorithm is an approximation of LRU (Least Recently Used) that avoids the overhead of moving pages within a queue by using a "reference bit."</t>
  </si>
  <si>
    <t>Clock approximates LRU by using a reference bit to track recent use, avoiding the overhead of moving pages in a queue.</t>
  </si>
  <si>
    <t>As the CEO of an autonomous driving company Potato Inc., you are trying to build a pipeline to predict a car’s steering angle θ ∈ [−1,1] from an input image.  After setting up a camera on the hood of your car, an expert driver in your team has collected the dataset Xin a city where most roads are straight. She always drives in the center of the lane. You have designed the pipeline: The input camera image is given to two modules: the Car Detector C and the Pedestrian Detector P. Coutputs a set of bounding boxes localizing the cars. Poutputs a set of bounding boxes localizing the pedestrians. The bounding boxes are then given to a Path Planner Swhich outputs the steering angle. Assume all these submodules are supervised learning algorithms.  Assume that you have designed a metric that scores your pipeline between 0% (bad) and 100% (good.) On unseen data from the real world, your entire pipeline gets a score of 54%.  Human level performance is 96% for your task. Your pipeline should do a lot better! Assuming one component (among C, P and S) is failing, explain how you would identify which one it is.</t>
  </si>
  <si>
    <t>Replace every component in turn with the ground truth. For example if you are testing whether Cis failing, supply Swith ground truth bounding boxes of all the cars, and see if performance of the overall pipeline increases. If it increases significantly, it is likely that the failing component is C.</t>
  </si>
  <si>
    <t>To identify the failing component, test each module independently on labeled real-world data; the one with performance significantly below its training accuracy is the likely failure point, as it indicates poor generalization.</t>
  </si>
  <si>
    <t>Which of the following methods are collision resolution techniques in hashing? (Select all that apply.)
A) Linear probing
B) Quadratic probing
C) Double hashing
D) Multi-level indexing</t>
  </si>
  <si>
    <t>Linear probing, quadratic probing, and double hashing are open addressing methods that resolve collisions by finding alternative slots within the hash table. Multi-level indexing is a database structure unrelated to hash collision resolution.</t>
  </si>
  <si>
    <t>Which regularization method leads to weight sparsity? Explain why.</t>
  </si>
  <si>
    <t>L1 regularization leads to weight sparsity. This comes from the shape of the L1 loss. Since even small weights are penalised the same amount as large weights, more weight values will tend closer to 0. L2 on the other hand penalizes smaller weights less, which leads to smaller weights but does not ensure sparsity.</t>
  </si>
  <si>
    <t>L1 regularization (lasso) leads to weight sparsity because its absolute value penalty can shrink less important feature coefficients exactly to zero during optimization, performing automatic feature selection.</t>
  </si>
  <si>
    <t>Many supermarket customers use the yellow creamy spot on the outside of a watermelon to evaluate its level of sweetness. To help customers who aren’t aware of this fact, you decide to build an image classifier to predict whether a watermelon is sweet (label=1) or not (label=0). You want to sanity-check your implementation of the BCE loss. The value the loss takes for a prediction of \ˆ{y} = 0.9 on a negative (y = 0) example is ______ (You can simply fill in the formula with the numbers, without needing to calculate it).</t>
  </si>
  <si>
    <t>−log(0.1)</t>
  </si>
  <si>
    <t>Binary Cross-Entropy loss for a negative class is defined as $-\log(1 - \hat{y})$. Substituting the prediction $\hat{y} = 0.9$, the expression becomes $-\log(1 - 0.9)$, which simplifies to $-\log(0.1)$, representing a high penalty for the incorrect high-confidence prediction.</t>
  </si>
  <si>
    <t>Server-Side Request Forgery (SSRF) attacks allow an attacker to make the backend server perform HTTP requests to arbitrary domains, potentially exposing internal services or cloud instance metadata (like 169.254.169.254).</t>
  </si>
  <si>
    <t>SSRF forces the server to send requests to attacker-chosen URLs, which can target internal or cloud metadata endpoints.</t>
  </si>
  <si>
    <t>Explain the phases in the waterfall model with its advantages and disadvantages.</t>
  </si>
  <si>
    <t>Waterfall model is one of the Software Development Life Cycle (SDLC) models. This model was devised by Royce in 1970. Since then many organizations implemented this process model and till date this is one of the majorly used software development process. The software lifecycle activities like Requirements Speciﬁcation (phase 1), Design (phase 2), Construction (phase 3), Integration (phase 4), Testing (phase 5) and Debugging (phase 6), Installation (phase 7) and Maintenance (phase 8) are proceeded one after the other (like a waterfall). So, at the beginning of the project the necessities and conditions are obtained from the customer as the ﬁrst step. This specification and analysis is the next step which is taken up by the developer team. Then the developer team will start to design a framework for achieving the objectives. Following the efficient design, the coding begins. After this, the testing process ensures the correctness of the code. Once the system is installed and launched as the live system it enters the maintenance stage. All these stages are taking place one after the other without any overlap. 
The Waterfall Model  has several advantages. It is very easy to understand and simple to implement. Since it is widely used and well known, all stakeholders can easily understand the process. In addition, the model clearly identifies deliverables and milestones at an early stage of the project.
However, the Waterfall Model also has notable disadvantages. It does not match well with real-world software development, as it is unrealistic to freeze requirements at the beginning. Software is only delivered at the final phase, which delays feedback. Furthermore, making changes is difficult and expensive, as change requests must go through the entire process.</t>
  </si>
  <si>
    <t>A satisfactory answer must list all phases (requirements, design, implementation, verification, maintenance), explain their sequential nature, and provide at least one clear advantage (e.g., structured) and disadvantage (e.g., inflexible to change).</t>
  </si>
  <si>
    <t>Explain the concept of average case complexity and why it is often more challenging to analyze than best or worst case.</t>
  </si>
  <si>
    <t>Average case complexity considers the expected performance over all possible inputs, accounting for probabilistic distributions. It is challenging because it requires knowledge of input distribution and involves complex mathematical modeling, unlike best or worst case which focus on specific input scenarios.</t>
  </si>
  <si>
    <t>Average case complexity estimates expected runtime over all inputs, requiring probabilistic analysis of input distributions, which is often unknown or complex, unlike best/worst cases that focus on specific scenarios.</t>
  </si>
  <si>
    <t>The height of a complete binary tree with n nodes is always log2(n+1).</t>
  </si>
  <si>
    <t>The height is ⌊log₂ n⌋, not log₂(n+1), for a complete binary tree.</t>
  </si>
  <si>
    <t>Which Boolean expression indicates whether the data in the two nodes referred by p and q are different? Assume that neither p nor q is NULL.
A) p-›info != q-&gt;info;
B) p-&gt;info == q-&gt;info;
C) p-&gt;next == q-&gt;next;
D) None of these.</t>
  </si>
  <si>
    <t>The expression `p-&gt;info != q-&gt;info` directly compares the data values stored in the nodes, returning true if they differ. The other options either check for equality or compare node pointers, not the data itself.</t>
  </si>
  <si>
    <t>A B+ tree stores data only in its leaf nodes and internal nodes contain only keys.</t>
  </si>
  <si>
    <t>B+ trees separate keys for routing from data records stored exclusively in leaves.</t>
  </si>
  <si>
    <t>Explain why microprogramming used on many early processors and why modern processors gone away from this technique?</t>
  </si>
  <si>
    <t>Microprogramming allowed relatively complex instructions to be implemented using small amounts of hardware.
Microprogramming has become less commonly used because the increased amount of hardware available to computer architects and the less complex instruction sets used in current processors allow instructions to be directly implemented in hardware. This generally provides better performance than microprogramming, so architects choose to implement instructions directly rather than microprogramming them.</t>
  </si>
  <si>
    <t>Microprogramming simplified control logic design for early processors with limited transistors. Modern processors use hardwired control for speed and efficiency, as increased transistor counts allow direct implementation of complex instruction sets without the overhead of microcode interpretation.</t>
  </si>
  <si>
    <t>Consider the following two blocks of code, which are contained in separate files:
/* main.c */
int i = 0;
int main() {
foo();
/* foo.c */
int i = 1;
void foo() {
printf("%d", i);
return 0;
}
}
What will happen when you attempt to compile, link, and run this code?
A) It will fail to compile.
B) It will fail to link.
C) It will raise a segmentation fault.
D) It will print “1”.</t>
  </si>
  <si>
    <t>The code compiles separately but linking fails due to multiple definitions of the global variable `i` across translation units, violating the One Definition Rule.</t>
  </si>
  <si>
    <t>In x86-64 architecture, the System V AMD64 ABI requires the stack pointer %rsp to be aligned to a 16-byte boundary before a "call" instruction executes. When a function P calls a function Q, which of the following statements is true regarding the value of %rsp immediately after the "call" instruction finishes (i.e., at the first instruction of Q)?
A) %rsp is a multiple of 16. 
B) %rsp is 8 bytes away from a multiple of 16 (i.e., %rsp mod 16 = 8). 
C) %rsp is 4 bytes away from a multiple of 16. 
D) The alignment of %rsp is undefined until Q executes "push %rbp".</t>
  </si>
  <si>
    <t>The call pushes an 8-byte return address, so %rsp is reduced by 8, making it 8 bytes off the 16-byte boundary required before the call. This is consistent with the ABI, which mandates the 16-byte alignment for the caller.</t>
  </si>
  <si>
    <t>We use dynamic memory because:
A) The heap is significantly faster than the stack.
B) The stack is prone to corruption from buffer overflows.
C) Storing data on the stack requires knowing the size of that data at compile time.
D) None of the above.</t>
  </si>
  <si>
    <t>Dynamic memory allocation is used when data size is unknown at compile time, which is true for C. The heap is not inherently faster than the stack, and stack corruption is not the primary reason for using dynamic memory.</t>
  </si>
  <si>
    <t>In a convolutional neural net with an image of size 5x5x3 (where 3 is red/green/blue),
we pad with a single zero all around the image and then use 4 local receptive fields (’filters’)
of size 3x3x3 and a stride of size 2. The outputs of these local receptive fields are sent to
a single output. Assuming that there are no bias terms in this model, the total number of
parameters (degrees of freedom) in the network is:
A) 3*3*4 + 4
B) 3*3*3*4 + 4
C) 3*3*3*4 + 4*9
D) 7*7*7*4 + 4</t>
  </si>
  <si>
    <t>Each filter has 3x3x3 weights, totaling 3x3x3x4 for four filters. A 5x5 input with padding one and stride two yields 3x3 output maps; thus, four maps provide 4x9 inputs to the final output weight layer.</t>
  </si>
  <si>
    <t>How do linked stacks and linked queues overcome the limitations of their sequential counterparts, and what trade-offs do they introduce?</t>
  </si>
  <si>
    <t>Linked stacks and queues eliminate the fixed-capacity limitation inherent in array-based implementations by dynamically allocating memory for each element, thus supporting arbitrary growth. This flexibility avoids overflow problems and improves memory utilization. However, they require additional memory for link fields and can incur overhead in pointer management, which may affect cache performance and speed compared to arrays</t>
  </si>
  <si>
    <t>Linked stacks and queues overcome fixed-size limits by dynamically allocating nodes, enabling flexible growth. However, this introduces overhead from pointer storage and dynamic memory management, trading space efficiency for adaptability.</t>
  </si>
  <si>
    <t>In the basic computer described, the instruction format includes a 3-bit operation code (opcode) and a 1-bit addressing mode flag, where the flag 
I = 0 indicates ________________ addressing and I = 1 indicates ________________ addressing.</t>
  </si>
  <si>
    <t>direct, indirect</t>
  </si>
  <si>
    <t>In the basic computer, the addressing mode flag I determines how the operand address is interpreted: I=0 means the address field directly gives the operand address (direct addressing), while I=1 means it points to a memory location containing the operand address (indirect addressing).</t>
  </si>
  <si>
    <t>Which of the followings are true about Batch Normalization? (Select all that apply.)
A) Batch Norm layers are skipped at test time because a single test example cannot be normalized.
B) Its learnable parameters can only be learned using gradient descent or mini-batch gradient descent, but not other optimization algorithms.
C) It helps speed up learning in the network.
D) It introduces noise to a hidden layer’s activation, because the mean and the standard deviation are estimated with a mini-batch of data.</t>
  </si>
  <si>
    <t>Batch Normalization accelerates learning by reducing internal covariate shift, making C true. D is true because mini-batch statistics introduce stochasticity. A is false as fixed population statistics are used at test time. B is false as any optimizer can learn its parameters.</t>
  </si>
  <si>
    <t>Consider an active learning setup for binary classification with labels {±1}and 0-1 loss. You are given a small labeled training set, from which you learn a logistic regression model. You are also given four more unlabeled data points, x1, x2, x3, and x4, and are allowed to query the label of one of these. Your logistic regression model predicts the probabilities of each of these instances having label +1 as follows: η(x1) = 0.30 ; η(x2) = 0.40 ; η(x3) = 0.55 ; η(x4) = 0.75. If you use an uncertainty sampling approach, which of the above instances would be chosen to query a label for?
A) x1
B) x2
C) x3
D) x4</t>
  </si>
  <si>
    <t>Uncertainty sampling selects the instance with predicted probability closest to 0.5, as it represents maximum label uncertainty. Here, η(x3)=0.55 is nearest to 0.5, making it the optimal query.</t>
  </si>
  <si>
    <t>In reinforcement learning, a deterministic policy is
A) a mapping from states to states
B) a mapping from state-action pairs to states
C) a mapping from actions to states
D) a mapping from states to actions</t>
  </si>
  <si>
    <t>A deterministic policy directly specifies which action to take in each state, making it a function from states to actions. The other options incorrectly involve mappings to states or include actions as inputs.</t>
  </si>
  <si>
    <t>In a binary heap, the root node contains the maximum element in a min-heap.</t>
  </si>
  <si>
    <t>In a min-heap the root contains the minimum element, not the maximum.</t>
  </si>
  <si>
    <t>Iterating between the E-step and M-step of EM algorithms always converges to a local optimum of the likelihood.</t>
  </si>
  <si>
    <t>Since EM produces a monotonically non-decreasing and bounded likelihood sequence, it must converge to a stationary point that satisfies the necessary conditions for a local optimum.</t>
  </si>
  <si>
    <t>The bandwidth of a memory system that transfers 64 bits of data per request, has a latency of 25 ns per operation, and has a precharge time of 5 ns between operations is ______ (bytes/s) in standard scientfic notation in the nearest 1 decimal place</t>
  </si>
  <si>
    <t>2.7 * 10^8</t>
  </si>
  <si>
    <t>Given the latency of 25 ns and precharge time of 5 ns, we can initiate one memory reference every 30 ns, and each memory reference fetches 64 bits (8 bytes) of dáta. Therefore, the bandwidth of the system is 8 bytes/30 ns = 2.7 x 10^8 bytes/s.</t>
  </si>
  <si>
    <t>Where is the first argument to a function located in 32-bit assembly code, immediately after the call instruction is executed?
A) %ebp + 0x4
B) %ebp - 0x4
C) %esp + 0x4
D) %exp - 0x4</t>
  </si>
  <si>
    <t>Immediately after `call`, `%esp` points to the return address, so the first argument is at `%esp + 0x4`. Others are wrong as `%ebp` is not yet set by a function prologue, and `%exp` is not a valid register.</t>
  </si>
  <si>
    <t>In C, an array name is equivalent to the address of its last element.</t>
  </si>
  <si>
    <t>An array name is equivalent to the address of its first element, not the last.</t>
  </si>
  <si>
    <t>You are implementing AES-GCM (Galois/Counter Mode) for an authenticated encryption system. What is the immediate catastrophic consequence of reusing the same Initialization Vector (IV) and Key pair for two distinct messages?
A) The system becomes vulnerable to a Padding Oracle attack.
B) The integrity tag remains valid, but the confidentiality is compromised via a bit-flipping attack.
C) The authentication key (H) is revealed, allowing an attacker to forge tags for any message.
D) The confidentiality is lost because the keystream is identical, allowing an XOR calculation to recover the plaintext difference.</t>
  </si>
  <si>
    <t>While IV reuse compromises confidentiality as described in D, the catastrophic failure unique to GCM is that the authentication key H can be recovered. This allows an attacker to bypass all integrity protections by forging valid tags.</t>
  </si>
  <si>
    <t>What are the advantages of SIMD instructions (compared to non-SIMD instructions)? (Select all that apply.)
A) They allow the CPU to execute multiple instructions at once.
B) They allow data to be processed in parallel without adding much extra control logic to a CPU.
C) They allow a CPU to take advantage of larger and/or multiple ALUs.
D) They allow a CPU to take advantage of a larger number of registers.</t>
  </si>
  <si>
    <t>SIMD instructions process multiple data elements simultaneously using a single instruction, enabling parallel data processing with minimal extra control logic (B) and leveraging larger or multiple ALUs (C). They do not inherently increase instruction-level parallelism (A) or expand register count (D).</t>
  </si>
  <si>
    <t>In the ARIES Analysis phase, the recovery manager identifies the ______ (a specific LSN), which represents the location of the first log record that might correspond to a dirty page not yet flushed to disk.</t>
  </si>
  <si>
    <t>RedoLSN</t>
  </si>
  <si>
    <t>The RedoLSN is the minimum of the recLSN values in the Dirty Page Table. It tells the Redo phase where to start replaying history.</t>
  </si>
  <si>
    <t>The Kerberos authentication protocol relies primarily on Asymmetric (Public Key) Cryptography to issue Ticket Granting Tickets (TGTs).</t>
  </si>
  <si>
    <t>Kerberos uses symmetric cryptography for TGT issuance, not asymmetric.</t>
  </si>
  <si>
    <t>PCA and Spectral Clustering perform eigen decomposition on two diﬀerent matrices. However, the size of these two matrices are the same.</t>
  </si>
  <si>
    <t>PCA uses the covariance matrix, while spectral clustering uses the Laplacian matrix; their sizes differ if data points differ from features.</t>
  </si>
  <si>
    <t>What is Error Analysis?
A) The process of analyzing the performance of a model through metrics such as precision, recall or F1-score.
B) The process of scanning mis-classified examples to identify weaknesses of a model.
C) The process of tuning hyperparameters to reduce the loss function during training.
D) The process of identifying which parts of your model contributed to the error.</t>
  </si>
  <si>
    <t>Error analysis specifically examines misclassified examples to find systematic model weaknesses, guiding targeted improvements. Other options describe general evaluation metrics, hyperparameter tuning, or attribution methods, which are related but distinct processes.</t>
  </si>
  <si>
    <t>A hard disk with 5 platters has 2048 tracks/platter, 1024 sectors/track (fixed number of sectors per track), and 512 byte sectors. The total capacity is ______ GB. (Rounded to the nearest integer)</t>
  </si>
  <si>
    <t>Total capacity = 5 platters × 2048 tracks/platter × 1024 sectors/track × 512 bytes/sector = 5,368,709,120 bytes. Dividing by 1,073,741,824 bytes/GB gives 5.00 GB, which rounds to 5 GB.</t>
  </si>
  <si>
    <t>The minimum number of children for any internal node in a B-tree of order 3 (except root) is ______.</t>
  </si>
  <si>
    <t>In a B-tree of order 3, each node can have at most 2 keys and 3 children. To maintain balance, an internal node (except the root) must be at least half-full, requiring a minimum of ⌈3/2⌉ = 2 children.</t>
  </si>
  <si>
    <t>In which algorithm design technique is the solution built by choosing the best option at every step without reconsidering previous choices?
A) Divide and conquer
B) Dynamic programming
C) Greedy method
D) Branch and bound</t>
  </si>
  <si>
    <t>The greedy method makes locally optimal choices at each step without revisiting them, fitting the description. Dynamic programming reconsiders subproblems, divide and conquer splits problems, and branch and bound explores with pruning.</t>
  </si>
  <si>
    <t>Which of the following is an example of a heuristic approach for NP-hard problems?
A) Exact algorithm
B) Approximation algorithm
C) Divide and conquer
D) Binary search</t>
  </si>
  <si>
    <t>B is correct because approximation algorithms provide near-optimal solutions efficiently for NP-hard problems, which are intractable for exact solutions. A is infeasible for large instances, while C and D are general algorithmic paradigms not specific to NP-hardness.</t>
  </si>
  <si>
    <t>Which of the following characterize the soft-margin Support Vector Machine (SVM)? (Select all that apply.)
A) It introduces slack variables allowing some misclassification.
B) The hyperparameter λ controls the trade-off between margin size and classification error.
C) Soft-margin SVM is applicable only when data is linearly separable.
D) The loss function involves the hinge loss or a smooth approximation thereof.</t>
  </si>
  <si>
    <t>Soft-margin SVM uses slack variables (A) and a hinge loss (D) to handle non-separable data, contradicting C. The hyperparameter λ (or C) balances margin and error (B), making it a key trade-off control.</t>
  </si>
  <si>
    <t>On-chip cache has bigger capacity compared with the main memory because they are physically closer to the CPU.</t>
  </si>
  <si>
    <t>On-chip caches are smaller than main memory due to higher cost and speed constraints.</t>
  </si>
  <si>
    <t>Which of the following statements about different types of trees are true? (Select all that apply.)
A) Binary trees have nodes with at most two children.
B) AVL trees are a type of balanced binary search tree maintaining height difference ≤ 1.
C) B-trees are multi-way search trees used primarily in memory-limited embedded systems.
D) Huffman trees are used for optimal prefix coding in data compression.</t>
  </si>
  <si>
    <t>Binary trees indeed restrict nodes to at most two children. AVL trees are balanced binary search trees where the height difference between subtrees is at most one. Huffman trees are used to construct optimal prefix codes for data compression. B-trees are for disk-based systems, not primarily memory-limited embedded ones.</t>
  </si>
  <si>
    <t>Which of the following are characteristics of microprogrammed control units? (Select all that apply.)
A) Control signals are generated directly by combinational hardware only.
B) Branching in microprogramming depends on status bits selected by a multiplexer.
C) Control memory stores sequences of microinstructions for instruction execution.
D) Each microinstruction can specify conflicting microoperations simultaneously.</t>
  </si>
  <si>
    <t>Microprogrammed units use control memory to store microinstructions and multiplexers to handle conditional branching via status bits. Choice A describes hardwired control, while choice D is false because encoded microoperation fields inherently prevent conflicting operations from being specified simultaneously.</t>
  </si>
  <si>
    <t>Which of the following statements correctly describe the properties and classifications of data structures? (Select all that apply.)
A) Linear data structures are always implemented using arrays.
B) Nonlinear data structures include trees and graphs.
C) Linked lists can be singly linked, doubly linked, circularly linked, or multiply linked.
D) An abstract data type (ADT) defines the implementation details of a data structure.</t>
  </si>
  <si>
    <t>B and C are correct: trees and graphs are nonlinear, and linked lists have those variations. A is false because linear structures can also use linked lists. D is false because an ADT defines an interface, not implementation details.</t>
  </si>
  <si>
    <t>Which of the following are characteristics of binary heaps? (Select all that apply.)
A) The height of a binary heap with n nodes is O(log n).
B) Binary heaps satisfy the complete binary tree property.
C) Both min-heaps and max-heaps maintain sorted order among siblings.
D) Binary heaps are ideal for implementing priority queues.</t>
  </si>
  <si>
    <t>A binary heap is a complete binary tree with heap order, giving O(log n) height and making it ideal for priority queues. Siblings are not ordered, so C is false.</t>
  </si>
  <si>
    <t>The gradient descent method guarantees finding a global minimum for any nonlinear loss function.</t>
  </si>
  <si>
    <t>Gradient descent can converge to local minima or saddle points, not just global minima.</t>
  </si>
  <si>
    <t>L_1-penalized linear regression is unbiased.</t>
  </si>
  <si>
    <t>L1 penalty shrinks coefficients toward zero, introducing bias to reduce variance.</t>
  </si>
  <si>
    <t>In a standard B+ Tree index (order $d$), which of the following operations/properties differ from a B-Tree? (Select all that apply.)
A) In a B+ Tree, all data records (or pointers to data) reside exclusively in the leaf nodes.
B) In a B+ Tree, deleting a key from a leaf node never requires merging internal nodes.
C) In a B+ Tree, leaf nodes are linked together (usually a doubly linked list) to facilitate range scans.
D) In a B+ Tree, when splitting a leaf node, the middle key is "copied up" to the parent; in a B-Tree, it is "pushed up."</t>
  </si>
  <si>
    <t>A is correct because B+ trees store data only in leaves, unlike B-trees where keys in internal nodes also hold data. C is correct as leaf linking supports efficient range queries, absent in B-trees. D is correct because in B+ trees, the middle key is duplicated in the parent during a leaf split, whereas in B-trees, it is moved up. B is incorrect because deletions in B+ trees can still require internal node merging if underflow occurs.</t>
  </si>
  <si>
    <t>Which of the following parameters must be agreed upon in a standard Elliptic Curve system (e.g., secp256k1)? (Select all that apply.)
A) The Prime modulus $p$ defining the field.
B) The coefficients $a$ and $b$ of the curve equation.
C) The Generator point $G$ (Base point).
D) The private key scalar $k$.</t>
  </si>
  <si>
    <t>In an elliptic curve system, the public parameters include the field modulus \(p\), curve coefficients \(a\) and \(b\), and base point \(G\). The private key \(k\) is a secret value chosen by the user, not a system-wide parameter.</t>
  </si>
  <si>
    <t>The following two relational algebra expressions are equivalent (that is, they return the same answer when evaluated on any instance of the database): `π_title,year(σlength≥100(Movie) ∩σ_studio=′Fox′ (Movie))`; `π_title,year(σ_length≥100∧studio=′Fox′ (Movie))`</t>
  </si>
  <si>
    <t>Intersection of selections on the same relation is equivalent to a single selection with both conditions conjoined.</t>
  </si>
  <si>
    <t>When designing an algorithm, the __________ case running time specifies the expected time complexity over all possible inputs drawn from a distribution, representing typical performance.</t>
  </si>
  <si>
    <t>average</t>
  </si>
  <si>
    <t>The average case accounts for the expected time across all inputs under a given probability distribution, reflecting typical performance rather than worst or best scenarios.</t>
  </si>
  <si>
    <t>Which statements about optimization algorithms for machine learning are true? (Select all that apply.)
A) Gradient descent requires Lipschitz continuous gradients for guaranteed convergence.
B) Momentum methods like Heavy Ball and Nesterov accelerate convergence.
C) Stochastic gradient descent (SGD) uses the entire dataset at each iteration.
D) Krylov subspace methods are useful for large-scale linear systems arising in ML.</t>
  </si>
  <si>
    <t>Lipschitz continuity ensures smooth gradients for convergence, while momentum accelerates training by dampening oscillations. Krylov methods solve high-dimensional linear systems efficiently. Conversely, SGD uses single samples or minibatches per iteration, whereas using the entire dataset defines batch gradient descent.</t>
  </si>
  <si>
    <t>__________ is the definition of objects in the database that leads directly to a standard approach for the creation of software documentation.</t>
  </si>
  <si>
    <t>Document standardization</t>
  </si>
  <si>
    <t>In a software project, documentation standards are critical since papers are the only concrete means to describe the program and the development process. Standardized papers should be easy to read and comprehend since they have a uniform look, structure, and quality.</t>
  </si>
  <si>
    <t>Which of the following are true about polynomial time vs exponential time algorithms? (Select all that apply.)
A) Polynomial time algorithms are considered efficient for practical purposes.
B) Exponential time algorithms become infeasible for large input sizes.
C) Exponential time algorithms are a subset of polynomial time algorithms.
D) NP-complete problems currently have known polynomial time algorithms.</t>
  </si>
  <si>
    <t>Polynomial time algorithms are efficient for practical use, and exponential time algorithms become infeasible for large inputs. Exponential time is not a subset of polynomial time, and NP-complete problems lack known polynomial-time solutions.</t>
  </si>
  <si>
    <t>What can static analysis NOT find?
A) The use of a variable before it has been defined.
B) Unreachable (“dead”) code.
C) Memory leaks.
D) Array bound violations.</t>
  </si>
  <si>
    <t>Static analysis examines code without execution, so it can detect syntax errors, undefined variables, dead code, and potential array issues, but it cannot reliably find memory leaks, which often depend on runtime behavior and dynamic allocation patterns.</t>
  </si>
  <si>
    <t>If every requirement stated in the Software Requirement Specification (SRS) has only one interpretation, SRS is said to be correct _____ .
A) Unambiguous
B) Consistent
C) Verifiable
D) None of the above</t>
  </si>
  <si>
    <t>An SRS is unambiguous when each requirement has only one interpretation, which is the definition given. Consistency refers to no internal conflicts, and verifiability means requirements can be tested.</t>
  </si>
  <si>
    <t>To avoid infinite loops during processing, a circularly linked list often includes a special node called the ________ node, which serves as a sentinel.</t>
  </si>
  <si>
    <t>head</t>
  </si>
  <si>
    <t>A head node acts as a sentinel in circularly linked lists to provide a fixed starting and ending reference. This distinguishes the beginning from the end of the loop, preventing infinite traversal during search or display operations.</t>
  </si>
  <si>
    <t>Given RSA parameters p=3, q=11, e=3. You receive ciphertext C=14. What is the plaintext M?
A) 5
B) 9
C) 20
D) 3</t>
  </si>
  <si>
    <t>Compute φ(n)=20. Find d satisfying 3d≡1 (mod 20), giving d=7. Decrypt: 14^7 mod 33 =20, using modular exponentiation. Options 5, 9, 3 do not equal this result, so only C is correct.</t>
  </si>
  <si>
    <t xml:space="preserve"> For the one-vs-rest multi-class classification, which statements are true?
A) Train c binary classifiers, one for each class versus the rest.
B) Classification decision is made by selecting the class with the highest predicted score.
C) One-vs-rest can handle classifiers that only provide binary outputs {−1,1} without ties.
D) Ties in classification scores can be broken by consistent heuristics.</t>
  </si>
  <si>
    <t>One-vs-rest trains separate classifiers for each class, assigning inputs to the highest score. If classifiers only yield binary outputs, multiple classes may predict positive, causing ties. Heuristics resolve these conflicts when scores are equal or ambiguous.</t>
  </si>
  <si>
    <t>A memory system contains a cache, a main memory, and a virtual memory. The access time of the cache is 5 ns, and it has an 80 percent hit rate. The access time of the main memory is 100 ns, and it has a 99.5 percent hit rate. The access time of the virtual memory is 10 milliseconds (ms). The average access time of the hierarchy is ______ (ns) in the nearest integer</t>
  </si>
  <si>
    <t>Average access time is calculated hierarchically. Main memory effective time is $(100 \times 0.995) + (10^7 \times 0.005) = 50099.5$ ns. Total average access time is $(5 \times 0.80) + (50099.5 \times 0.20) = 10023.9$ ns, which rounds to 10024 ns.</t>
  </si>
  <si>
    <t>If some given data is not linearly separable, we can design a linear classifier that separates the data in a higher dimension as long as no point x appears twice with diﬀerent y values.</t>
  </si>
  <si>
    <t>Mapping data to a sufficiently high-dimensional space can always achieve linear separability, provided no contradictory labels exist.</t>
  </si>
  <si>
    <t>A 2-layer neural network with 5 neurons in each layer has a total of 60 parameters (i.e. weights and biases).</t>
  </si>
  <si>
    <t>Each layer needs 25 weights (5×5) and 5 biases; two layers therefore require 2 × 30 = 60 parameters.</t>
  </si>
  <si>
    <t>In online learning, we can update the decision boundary of a classifier based on new data without reprocessing the old data. Now for a new data point that is an outlier, which of the following classifiers are likely to be eﬀected more severely? NB, LR, SVM? Please provide explanation to your answer.</t>
  </si>
  <si>
    <t>NB and LR are likely to be aﬀected more severely (answering either one is ok), because both are based on density estimation (or conditional probability estimation) that will be fit on the entire
data, and every datapoint will carry a weight. On the other hand, SVM only depends on support vectors and controls the model complexity through a regularization term, which makes it more robost to noise.</t>
  </si>
  <si>
    <t>SVM is most affected because its decision boundary depends on support vectors; an outlier can become a new support vector, drastically shifting the boundary. NB and LR update parameters incrementally, making them more robust to single outliers.</t>
  </si>
  <si>
    <t>In natural language processing, ____________ involves breaking text into smaller units such as words or subwords, which can be embedded into vector spaces for modeling.</t>
  </si>
  <si>
    <t>tokenization</t>
  </si>
  <si>
    <t>Tokenization is the process of segmenting text into discrete units like words or subwords, enabling their conversion into numerical vectors for computational analysis in NLP models.</t>
  </si>
  <si>
    <t>Why is cache coherence a problem in shared-memory multiprocessor systems, and what general approaches exist to solve it?</t>
  </si>
  <si>
    <t xml:space="preserve">Cache coherence arises because multiple processors have private caches that may store copies of the same memory location. If one processor updates its cache, the others' caches may hold stale data, leading to inconsistencies. Solutions include disabling private caches, using a shared cache, or implementing coherence protocols like snoopy caches that monitor and update or invalidate copies across caches. These protocols maintain consistency by ensuring all processors see the most recent data, which is critical for correct multiprocessor operation </t>
  </si>
  <si>
    <t>Cache coherence ensures all processors see consistent memory values. Without it, cached copies can diverge, causing data races. Solutions include hardware protocols (e.g., snooping, directory-based) and software techniques like memory barriers to manage updates.</t>
  </si>
  <si>
    <t>Digital Signatures provide which of the following security services? (Select all that apply.)
A) Confidentiality.
B) Integrity.
C) Authentication (Authenticity).
D) Non-Repudiation.</t>
  </si>
  <si>
    <t>Digital signatures verify integrity via hashing, authenticate the signer via public-key verification, and provide non-repudiation as the signer cannot deny signing. Confidentiality is not provided, as the signature does not encrypt the message content.</t>
  </si>
  <si>
    <t>In a true/false classification problem, if you had class imbalance (many more false class labels) during training and you downsampled the false class, how would you account for this during testing?</t>
  </si>
  <si>
    <t>One would have to adjust the threshold at which one predicts true/false, and move the true threshold 0.5 to a higher value. Or we upweight downsampled class examples. We also accept answers talking about separately measuring performance on both classes depending on specific problem setting. (All answers indicating the same idea will be accepted)</t>
  </si>
  <si>
    <t>During testing, apply the inverse of the downsampling ratio as a weight to the predicted probabilities for the false class to correct for the altered prior distribution, ensuring calibrated probability estimates.</t>
  </si>
  <si>
    <t>In a min-heap represented by the sequence: 52, 32, 42, 22, 12, 27, 37, 12, 7. After the deletion operation is called thrice (removing the root each time), which element will be deleted last?
A) 22
B) 42
C) 32
D) 37</t>
  </si>
  <si>
    <t>After three deletions, the heap is rebuilt each time, and the third deletion removes the current root, which is 32, as it becomes the smallest element after the first two deletions remove 7 and 12.</t>
  </si>
  <si>
    <t>A development team is using Rational Unified Process (RUP). They are currently in the Construction Phase. A junior developer suggests they should stop all requirements analysis because "requirements are done in the Inception and Elaboration phases." Based on the RUP model, how should the project manager respond? (Select all that apply.)
A) Agree, because RUP enforces a linear sequence where requirements must be completed before construction begins. 
B) Disagree, because RUP allows detailing of requirements for specific features during the Construction phase. 
C) Agree, because the "Lifecycle Architecture" milestone at the end of Elaboration requires 100% of requirements to be frozen. 
D) Disagree, because RUP encourages an iterative approach within phases.</t>
  </si>
  <si>
    <t>The project manager should disagree because RUP is iterative, allowing requirements to be refined within each phase, including Construction, to adapt to new insights. Choices B and D correctly reflect this iterative, non-linear nature of the process.</t>
  </si>
  <si>
    <t>Consider data with n samples D={x^1,...,x^n} with x^i ∈ R^p with n ≫ p ≫ k, where k is the number of components to be kept. If computation speed is not as issue, it is advisable to do PCA by
A) computing the covariance matrix of X.
B) computing the SVD of X.
C) either A or B. It won’t make any diﬀerence.
D) both A and B</t>
  </si>
  <si>
    <t>Since computation speed is not an issue, both the covariance matrix eigendecomposition and SVD of X yield mathematically equivalent principal components. Neither method offers a practical advantage here, so either approach produces the same result, making the choice irrelevant.</t>
  </si>
  <si>
    <t>Which of the following are correct descriptions of the train-test split and related concepts? (Select all that apply.)
A) The test set is used during training to tune hyperparameters.
B) The train set is typically larger than the test set.
C) Overfitting occurs when the model performs significantly better on training than test data.
D) Cross-validation helps reduce variance in estimating model performance by averaging over splits.</t>
  </si>
  <si>
    <t>B is correct as training data is usually the majority. C correctly defines overfitting as high training but low test performance. D is accurate as cross-validation averages performance across splits to reduce variance. A is false because the test set must remain untouched during training and hyperparameter tuning.</t>
  </si>
  <si>
    <t>The __________ traversal of a binary tree processes the root node first, followed by recursive traversal of the left subtree and then the right subtree.</t>
  </si>
  <si>
    <t>Pre-order</t>
  </si>
  <si>
    <t>Pre-order traversal follows the node-left-right pattern, visiting the root before its descendants. This order is essential for tree copying and prefix expression generation.</t>
  </si>
  <si>
    <t>LSM Trees (used in RocksDB, Cassandra) optimize for write-heavy workloads. Which of the following describe their architecture? (Select all that apply.)
A) Writes are first buffered in an in-memory "MemTable".
B) When memory is full, data is flushed to immutable "SSTables" on disk.
C) Reads are faster than B+ Trees because data is always in a single location.
D) Background compaction processes merge SSTables to remove deleted data and duplicates.</t>
  </si>
  <si>
    <t>LSM trees buffer writes in a MemTable (A), flush to immutable SSTables (B), and use compaction to merge files and reclaim space (D). Reads are not inherently faster than B+ trees, as they may require checking multiple SSTables, making C incorrect.</t>
  </si>
  <si>
    <t>The worst-case running time of an algorithm is always a lower bound on the running time for any input.</t>
  </si>
  <si>
    <t>Worst-case is an upper bound, not a lower bound, on running time.</t>
  </si>
  <si>
    <t>Multi-level cache can take use of the locality on misses from a cache.</t>
  </si>
  <si>
    <t>When L1 misses occur, L2 caches capture the resulting memory requests by exploiting spatial and temporal locality across broader address ranges.</t>
  </si>
  <si>
    <t>Which of the following is a limitation of a linear queue?
A) It cannot store elements of different data types.
B) It requires dynamic memory allocation.
C) It can lead to inefficient space utilization due to 'queue full' even if front elements are dequeued.
D) Elements can only be inserted at the front.</t>
  </si>
  <si>
    <t>C is correct because in a linear queue, dequeued front positions remain unused, causing "false full" conditions. A is incorrect as queues can store any uniform type; B is false since static arrays are possible; D describes a stack, not a queue.</t>
  </si>
  <si>
    <t>Given a relation R(A, B, C) and functional dependencies F = {A -&gt; B, B -&gt; C}. Which of the following is a "Pseudo-Transitivity" rule derivation that is valid according to Armstrong's Axioms?
A) If A -&gt; B and B -&gt; C, then C -&gt; A.
B) If A -&gt; B and WB -&gt; C, then WA -&gt; C.
C) If A -&gt; B and B -&gt; C, then A -&gt; C is only true if B is a candidate key.
D) If A -&gt; B, then AC -&gt; BC.</t>
  </si>
  <si>
    <t>Pseudo-transitivity states: if \( \alpha \rightarrow \beta \) and \( \gamma\beta \rightarrow \delta \), then \( \gamma\alpha \rightarrow \delta \). Option B matches this form with \( \alpha = A, \beta = B, \gamma = W, \delta = C \). The others violate Armstrong's axioms or add unnecessary conditions.</t>
  </si>
  <si>
    <t>The ____________ method is a spectral technique used in graph theory to find a vector associated with the second smallest eigenvalue of the graph Laplacian, which is useful for graph partitioning and clustering.</t>
  </si>
  <si>
    <t>Fiedler vector</t>
  </si>
  <si>
    <t>The Fiedler vector is the eigenvector associated with the second smallest eigenvalue of the graph Laplacian. It provides a low-dimensional embedding that minimizes the cut between partitions, effectively identifying the community structure and connectivity within a graph.</t>
  </si>
  <si>
    <t>In a circular doubly linked list with a head node, the head node's data field is always unused and must be set to NIL.</t>
  </si>
  <si>
    <t>The head node's data field can store meaningful data, such as list metadata like the number of elements.</t>
  </si>
  <si>
    <t>A program references 280 KB of data. When run on a multiprocessor, it displays less-than-linear speedup on two or four processors, but superlinear speedup on eight. What is the the most likely explanation for the superlinear speedup if each processor has 64 KB of cache?</t>
  </si>
  <si>
    <t>The increased amount of cache in the multiprocessor system is the most likely explanation.
With one, two, or four processors, the total amount of cache is less than the amount of data referenced. With eight processors, there is a total of 512 KB of cache in the system, which is greater than the 280 KB of data referenced by the program. Therefore, the entire data set can fit in the cache on eight processors, improving performance and allowing superlinear speedup.</t>
  </si>
  <si>
    <t>Asymptotic notations abstract away constant factors and lower-order terms, focusing on growth rates as input size increases. This allows for a high-level comparison of algorithm scalability and efficiency, independent of hardware or implementation details.</t>
  </si>
  <si>
    <t>What is an unsafe query? Give an example and explain why it is important to disallow such queries.</t>
  </si>
  <si>
    <t>An unsafe query is a query in relational calculus that has an infinite number of results. An example of such a query is: {S | ¬(S ∈ Sailors)}. The query is for all things that are not sailors which of course is everything else. Clearly there is an infinite number of answers, and this query is unsafe. It is important to disallow unsafe queries because we want to be able to get back to users with a list of all the answers to a query after a finite amount of time.</t>
  </si>
  <si>
    <t>An unsafe query is one that may return an infinite result, like `{X | ¬Student(X)}`, which selects all things not in the Student relation. Disallowing them ensures queries are evaluable and the domain is finite.</t>
  </si>
  <si>
    <t>In the context of the CAP Theorem, a system that prioritizes Availability and Partition Tolerance (AP) will usually only guarantee ______ consistency, meaning replicas will converge to the same value only after some time.</t>
  </si>
  <si>
    <t>Eventual</t>
  </si>
  <si>
    <t>An AP system sacrifices strong consistency for availability during partitions, allowing replicas to temporarily diverge but ensuring they will become consistent once communication is restored, which is defined as eventual consistency.</t>
  </si>
  <si>
    <t>The reason why loading an instruction into the CPU cache hierarchy for one thread causes an eviction of data that the other thread has put through a store instruction, is that the two threads have a data race condition.</t>
  </si>
  <si>
    <t>Evictions occur due to cache capacity or associativity, not data races.</t>
  </si>
  <si>
    <t>The major disadvantage of using a doubly linked list compared to a singly linked list is the extra memory required to store _______ link field(s) per node.</t>
  </si>
  <si>
    <t>two</t>
  </si>
  <si>
    <t>While doubly linked lists allow bidirectional traversal, each node must store two pointers—one for the previous node and one for the next. This additional link field increases memory overhead per node compared to the single pointer in singly linked lists.</t>
  </si>
  <si>
    <t>Recall the Fast Gradient Sign Method for generating adversarial examples: x^∗ = x + ε · sign(∂J/∂x). Given x = [1 2 3]^⊤, ∂J/∂x = [0.5 −0.5 1]^⊤, and ε= 0.01. The magnitude of εneeded to create the adversarial example increases with the dimension of x. Do you agree with this statement? Explain your reasoning.</t>
  </si>
  <si>
    <t>This statement is false, and to see why we can consider the Fast Gradient Sign Method applied to a logistic regression model. For a logistic regression model where \ˆ{y} = σ(wx+ b), the gradient of \ˆ{y} with respect to x is proportional to w^T , so we can take our adversarial example to be x^∗ = x + ε · sign(w^T). Note that this ensures that any element of x^∗ can deviate from the corresponding element of x by at most ε, so the deviation of the adversarial example from the original input is always small. The output of the model on x^∗ is \ˆ{y}^∗ = σ(w(x + ε·sign(w^T )) + b) = σ(wx + b + ε∥w∥_1) where ∥w∥_1 denotes the sum of the absolute values of the elements of w. If x and w have dimension n and the average magnitude of the elements of w is m, then the change in the input to the sigmoid function grows as Θ(εmn). This grows linearly with the dimension of x for fixed ε. This means that even when ε is small, we can perturb the elements of the input by at most ε and still achieve a large deviation in the output when the dimension of x is large.</t>
  </si>
  <si>
    <t>No, the statement is incorrect. The perturbation magnitude ε is a fixed scalar hyperparameter; it does not inherently scale with input dimension. The formula adds ε * sign(gradient), so the total L∞ norm of the perturbation is always ε, regardless of dimension.</t>
  </si>
  <si>
    <t>A 256-core CPU working at 1 GHz is faster than a single-core CPU working at 1.2 GHz running any programs</t>
  </si>
  <si>
    <t>Many programs cannot be parallelized to use all cores effectively.</t>
  </si>
  <si>
    <t>The average access time for magnetic disk memory is dominated mainly by the transfer time rather than the seek time required to position the read/write head.</t>
  </si>
  <si>
    <t>Seek time is typically the largest component of average disk access time, not transfer time.</t>
  </si>
  <si>
    <t>Which are the true statements about Principal Component Analysis (PCA) and Linear Discriminant Analysis (LDA)? (Select all that apply.)
A) PCA maximizes variance captured in the data, ignoring class labels.
B) LDA can improve classification performance when used as preprocessing.
C) LDA uses class labels to maximize between-class variance relative to within-class variance.
D) PCA reduces dimensions to c-1 for c classes.</t>
  </si>
  <si>
    <t>PCA maximizes variance without labels (A). LDA uses labels to separate classes (C), aiding classification when preprocessing (B). D is false because PCA reduces to any chosen dimension, not specifically c-1.</t>
  </si>
  <si>
    <t>Reference the code below to answer the answer the following questions:
```
int foo(int *a, int *b, int *c, int n) {
	for (int i = 0; i &lt; n; ++i) {
		c[i] = 0;
		for (int j = 0; j &lt; n; ++j) {
			c[i] += a[i] * b[j];
		}
	}
}
```
Suppose we try using loop unrolling and multiple accumulators for the computation of c[i] above, but determine that it does not improve performance. Both before and after attempting to use multiple accumulators, the inner loop has a throughput of about 1 cycle per iteration. Which of the following are plausible reasons for this? (Select all that apply.)
A) The processor’s multipliers have a latency that is more than twice the latency of additions.
B) The processor can only start one multiply per cycle.
C) Although the processor can start multiple adds per cycle, the latency of the adders is too high
D) The processor can only load two values per cycle.</t>
  </si>
  <si>
    <t>B and D are correct because they describe throughput bottlenecks: one multiply per cycle limits unrolling benefit, and two loads per cycle becomes the bottleneck when unrolling increases load demand. A and C are incorrect as latency does not affect throughput-limited loops.</t>
  </si>
  <si>
    <t>In a Format String vulnerability, an attacker can overwrite arbitrary memory addresses by using the ______ format specifier, which writes the number of bytes printed so far to the pointer argument.</t>
  </si>
  <si>
    <t>%n</t>
  </si>
  <si>
    <t>The `%n` specifier writes the count of characters printed to the provided pointer, allowing an attacker to control where this count is written, thereby enabling arbitrary memory overwrites in a format string exploit.</t>
  </si>
  <si>
    <t>In an x86-64 system, how many integers can be stored in a cache line if your cache is 4KB, is 4-way
set-associative, and contains 4 sets?
A) 8
B) 16
C) 32
D) 64</t>
  </si>
  <si>
    <t>A cache line is 64 bytes (standard for x86-64). Each integer is typically 4 bytes, so a cache line holds 64/4 = 16 integers. The cache's total size and associativity are irrelevant for this specific calculation.</t>
  </si>
  <si>
    <t>14. Why is gethostbyname not thread safe?
A) Only one thread at a time can do a DNS lookup
B) It doesn’t have a mutex around it
C) It returns a pointer to global shared memory
D) It shares instructions with other threads</t>
  </si>
  <si>
    <t>`gethostbyname` returns a pointer to a single, static global buffer, so concurrent calls by multiple threads will overwrite this shared memory, corrupting data. The other options are incorrect because the issue is not about serializing lookups (A), missing mutexes (B), or shared code (D).</t>
  </si>
  <si>
    <t>Which of the following is true about the vanishing gradient problem? (Select all that apply.)
A) Tanh is usually preferred over sigmoid because it doesn’t suﬀer from vanishing gradients.
B) Vanishing gradient causes deeper layers to learn more slowly than earlier layers.
C) Leaky ReLU is less likely to suﬀer from vanishing gradients than sigmoid.
D) Xavier initialization can help prevent the vanishing gradient problem.</t>
  </si>
  <si>
    <t>Leaky ReLU maintains non-zero gradients, and Xavier initialization stabilizes signal variance, preventing attenuation. Tanh still saturates like sigmoid, causing vanishing gradients. Crucially, the problem typically makes earlier layers learn slower than deeper layers due to multiplicative derivative chains.</t>
  </si>
  <si>
    <t>In a linked stack implementation, the _______ pointer references the top of the stack, and pushing an element involves changing this pointer to the newly allocated node.</t>
  </si>
  <si>
    <t>top</t>
  </si>
  <si>
    <t>In a linked stack, the top pointer always references the most recently added node, so pushing a new element requires updating this pointer to point to the newly allocated node, which then links to the previous top.</t>
  </si>
  <si>
    <t>Which of the following statements are the advantages for switching to multiple level page tables from single level pages? (Select all that apply.)
A) Multiple level paging allows us to reduce the amount of space required to store a process’s page table entries.
B) Multiple level paging allows for faster pagetable entry look ups.
C) Multiple level paging allows for larger virtual address spaces.
D) Multiple level page tables allow for faster memory reads and writes.</t>
  </si>
  <si>
    <t>Multi-level page tables reduce space by storing only valid page entries, and support larger address spaces by structuring the table hierarchically. Lookups are slower due to extra memory accesses, and memory reads/writes are unaffected by the table structure.</t>
  </si>
  <si>
    <t>A CPU has a 32 KB direct mapped cache with 128-byte block size.
Suppose A is a two dimensional array of size 512X512 with elements that occupy 8-bytes each. Consider the following two C code segments, P1 and P2: 
P1 : ```
for (i=0;i&lt;512;i++)
{
for (j=0: j&lt;512;j++)
{
x+=A[I][j];
}
}
```
P2 : ```
for (i=0;i&lt;512;i++) {
for (j=0;j&lt;512;j++) {
{x+=A[j][i];}
}
}
```
P1 and P2 are executed independently with the same initial state, namely, the array A is not in the cache and i,j, x are in registers. Let the number of cache misses experienced by P1 be M1 and that for P2 be M2.
The value of M1 is ______.</t>
  </si>
  <si>
    <t>P1 uses row-major access, traversing memory sequentially. Each 128-byte block holds 16 elements. Since elements are accessed once and the array is $512 \times 512$, the total misses equal the total elements divided by elements per block: $262144 / 16 = 16384$.</t>
  </si>
  <si>
    <t>You are training a logistic regression model. You initialize the parameters with 0’s. Is this a good idea? Explain your answer.</t>
  </si>
  <si>
    <t>There is no symmetry problem with this approach. In logistic regression, we have a= Wx+ b where a is a scalar and W and x are both vectors. The derivative of the binary cross entropy loss with respect to a single dimension in the weight vector W[i] is a function of x[i], which is in general diﬀerent than x[j] when i =/= j.</t>
  </si>
  <si>
    <t>Initializing all parameters to zero is not ideal because it causes symmetry in gradient updates, preventing the model from learning distinct feature weights and potentially leading to poor convergence.</t>
  </si>
  <si>
    <t>Which one of the following statements on initialization is false?
A) The variances of layer outputs remain unchanged during training when Xavier initialization is used.
B) Initializing all weights to a positive constant value isn’t suﬃcient to break learning symmetry during training.
C) Diﬀerent activation functions may benefit from diﬀerent types of initializations.
D) It’s possible to break symmetry by initializing weights to be sampled uniformly from the set {−1,1}.</t>
  </si>
  <si>
    <t>Xavier initialization only sets initial variances to prevent vanishing gradients. During training, backpropagation updates weights based on data, meaning output variances inevitably change. Symmetry breaking requires distinct weight values, making B true and D a valid, though rare, approach.</t>
  </si>
  <si>
    <t>The ____________ assumption in semi-supervised learning posits that the predicted labels should vary smoothly over regions of high data density, which is often enforced using graph Laplacian regularization.</t>
  </si>
  <si>
    <t>semi-supervised smoothness</t>
  </si>
  <si>
    <t>The semi-supervised smoothness assumption implies that data points in high-density regions should share similar labels. Graph Laplacian regularization enforces this by penalizing label differences between neighboring nodes in a similarity graph, ensuring decision boundaries avoid dense clusters.</t>
  </si>
  <si>
    <t>Concerning multiplexers, which of the following statements are true? (Select all that apply.)
A) A 4-to-1 multiplexer has four data inputs and two selection inputs.
B) Multiplexers can be expanded by enabling multiple smaller multiplexers.
C) The output of a multiplexer is determined by the logical AND of all inputs.
D) Multiplexers can be used as data selectors in a bus system.</t>
  </si>
  <si>
    <t>A 4-to-1 multiplexer has four data inputs and two selection inputs (A). Multiplexers can be expanded using smaller ones (B) and are used as data selectors in bus systems (D). The output is selected, not an AND of all inputs (C).</t>
  </si>
  <si>
    <t>Why is algorithm analysis important before implementation, and what are the advantages of apriori analysis over posteriori testing?</t>
  </si>
  <si>
    <t>Algorithm analysis predicts performance and resource needs independent of hardware, enabling theoretical comparison and optimization. Apriori analysis is machine and language independent, allowing assessment on arbitrarily large inputs, unlike posteriori testing which is environment-dependent and limited to feasible input sizes.</t>
  </si>
  <si>
    <t>Algorithm analysis predicts performance and scalability, guiding efficient design choices. Apriori analysis uses theoretical models to evaluate algorithms before coding, saving time and resources compared to posteriori testing, which depends on implementation and specific hardware.</t>
  </si>
  <si>
    <t>In k-nearest neighbor classification, the label of a new data point is predicted by the ____________ of the labels of its k closest neighbors in the training set.</t>
  </si>
  <si>
    <t>majority vote</t>
  </si>
  <si>
    <t>In k-nearest neighbor classification, the label for a new point is determined by the most frequent label among its k nearest neighbors, a method known as majority vote, which ensures a simple, distance-based prediction.</t>
  </si>
  <si>
    <t>Which statements correctly distinguish between learning paradigms? (Select all that apply.)
A) Supervised learning uses only labeled data.
B) Semi-supervised learning uses only unlabeled data.
C) Unsupervised learning uses only unlabeled data.
D) Semi-supervised learning can improve performance by leveraging unlabeled data alongside few labeled examples.</t>
  </si>
  <si>
    <t>Supervised learning requires labels, while unsupervised learning identifies patterns in unlabeled data. Semi-supervised learning utilizes both, leveraging unlabeled data structure to enhance models trained on limited labels. Using only unlabeled data defines unsupervised, not semi-supervised, learning.</t>
  </si>
  <si>
    <t>MLE is more likely to overfit than MAP since MAP tends to shrink parameters.</t>
  </si>
  <si>
    <t>MAP's prior acts as regularization, shrinking parameters toward zero, reducing overfitting compared to unregularized MLE.</t>
  </si>
  <si>
    <t>For Diffie-Hellman with prime p=11, which of these is a valid generator (primitive root) g?
A) 1
B) 2
C) 10
D) 4</t>
  </si>
  <si>
    <t>A generator must have order 10 modulo 11. g=2 works because its powers generate all residues 1-10. g=1 has order 1, g=10 has order 2, and g=4 has order 5, so they are not primitive.</t>
  </si>
  <si>
    <t>You are hashing the message "abc" (24 bits) using SHA-1 (block size 512 bits). What is the last 64 bits of the padding block?
A) 0x0000000000000018
B) 0x0000000000000003
C) 0x00000000000000C0
D) 0x1800000000000000</t>
  </si>
  <si>
    <t>SHA-1 pads the message to be congruent to 448 mod 512 bits, appending the original length as a 64-bit big-endian integer. "abc" is 24 bits (0x18), so the final 64 bits are 0x0000000000000018.</t>
  </si>
  <si>
    <t>A ternary tree is a special case of a binary tree.</t>
  </si>
  <si>
    <t>A ternary tree has up to three children per node, while a binary tree allows at most two, so it is not a special case.</t>
  </si>
  <si>
    <t>What is the phantom problem? Can it occur in a database where the set of database objects is fixed and only the values of objects can be changed?</t>
  </si>
  <si>
    <t>The phantom problem is a situation where a transaction retrieves a collection of objects twice but sees diﬀerent results, even though it does not modify any of these objects itself and follows the strict 2PL protocol. This problem usually arises in dynamic databases where a transaction cannot assume it has locked all objects of a given type (such as all sailors with rank 1; new sailors of rank 1 can be added by a second transaction after one transaction has locked all of the original ones). If the set of database objects is fixed and only the values of objects can be changed, the phantom problem cannot occur since one cannot insert new objects into the database.</t>
  </si>
  <si>
    <t>The phantom problem occurs when a transaction reads a set of rows satisfying a condition, and a concurrent transaction inserts new rows that also satisfy that condition, altering the result set upon re-read. It cannot occur in a database with a fixed set of objects, as no new objects can be inserted to become phantoms.</t>
  </si>
  <si>
    <t>Regarding the Two-Phase Locking (2PL) protocol, which of the following statements are true? (Select all that apply.)
A) Basic 2PL guarantees a Serializable schedule.
B) Basic 2PL guarantees a Deadlock-free schedule.
C) Strict 2PL prevents Cascading Rollbacks by holding exclusive locks until commit.
D) Conservative (Static) 2PL prevents Deadlocks by acquiring all locks at the beginning.</t>
  </si>
  <si>
    <t>Basic 2PL ensures serializability (A) but not deadlock freedom (B). Strict 2PL holds exclusive locks until commit to prevent cascading rollbacks (C). Conservative 2PL acquires all locks upfront to prevent deadlocks (D).</t>
  </si>
  <si>
    <t>Consider a vector processor built from 3 execution units which can process one vector element at a time: a load unit, a alu unit and a store unit. Assuming that each unit takes one cycle per operation, but multiple units can be used within the same cycle. (VR1 represents a vector register and A[0:7] represents elements 0 through 7 inclusive of an array)? (Ignore the time require to fetch/decode/etc. the instructions.)
``` 
LOAD VR1 &lt;- A[0:7] 
ADD VR1 &lt;- VR1, 2 
STORE A[0:7] &lt;- VR1 
```
The number of cycles it takes to execute the following instructions is ______ .</t>
  </si>
  <si>
    <t>Using vector chaining, the first element passes through the load, add, and store units in three cycles. Each subsequent element of the eight-element vector finishes one cycle later, totaling $3 + (8 - 1) = 10$ cycles for completion.</t>
  </si>
  <si>
    <t>What is the difference between best-case, worst-case, and average-case running time of an algorithm?</t>
  </si>
  <si>
    <t>Best-case running time is the minimum time an algorithm takes on any input, often when input is already sorted or trivial. Worst-case time is the maximum time it takes, representing the most difficult input. Average-case time is the expected time over all possible inputs, assuming a probability distribution. This classification helps in understanding algorithm performance under different conditions</t>
  </si>
  <si>
    <t>Best-case is the minimum time for any input of size n, worst-case is the maximum, and average-case is the expected time over all possible inputs, considering their probability distribution.</t>
  </si>
  <si>
    <t>In recursion, the base case is the condition under which the function calls itself repeatedly without end</t>
  </si>
  <si>
    <t>The base case stops recursion, preventing infinite calls.</t>
  </si>
  <si>
    <t>Alice and Bob are deep learning engineers working at two rival start-ups. They are both trying to deliver the same neural network-based product. Alice and Bob do not have access to each other’s models and code. However they can query each other’s models as much as they’d like. It is possible to add an invisible perturbation η to an image x, such that \tilde{x} = x+ η is misclassified by a model. Given that you have obtained η, you notice that |η|&lt;&lt; 1. Explain why even though the adversarial noise has a small magnitude, it can cause a large change in the output of a model.</t>
  </si>
  <si>
    <t>Since the dimensionality of the images is very large, even though the noise is small, it can cause a large swing in the output. To illustrate consider \tilde{x} = x+η. While passing this through a single layer, W\tilde{x} = W_x+W_η= \sum_j{W_ijηj}. If j is very large, this can have a significant contribution.</t>
  </si>
  <si>
    <t>Adversarial perturbations exploit the high-dimensional, non-linear nature of neural networks, where small input changes can cross decision boundaries due to the model's sensitivity in certain directions, leading to significant output changes despite minimal noise magnitude.</t>
  </si>
  <si>
    <t>Explain the difference of signs between learning rate being too large and learning rate being too small.</t>
  </si>
  <si>
    <t>For learning rate being too large, cost function does not converge to an optimal solution and can even diverge. To detect, look at the costs after each iteration (plot the cost function v.s. the number of iterations). If the cost oscillates wildly, the learning rate is too large. For learning rate being too small,  cost function may take a very long time to converge. To detect, look at the costs after each iteration (plot the cost function v.s. the number of iterations). The cost function decreases very slowly. You could also try higher learning rates to see if the performance improves.</t>
  </si>
  <si>
    <t>A too large learning rate causes overshooting and divergence, preventing convergence. A too small learning rate leads to extremely slow progress, getting stuck in local minima or failing to converge in a reasonable time.</t>
  </si>
  <si>
    <t>RAD Software process model stands for __________ .</t>
  </si>
  <si>
    <t>Rapid Application Development</t>
  </si>
  <si>
    <t>RAD stands for Rapid Application Development, a model emphasizing rapid prototyping and iterative delivery to accelerate software production through user feedback and reusable components.</t>
  </si>
  <si>
    <t>The Quarter Round operation in ChaCha20 involves addition, XOR, and rotation. If a=1, b=1, d=0 (32-bit words), what is d after the operation: a = a + b; d = d XOR a; d = d &lt;&lt;&lt; 16?
A) 0x00020000
B) 0x00000002
C) 0x00010000
D) 0x80000000</t>
  </si>
  <si>
    <t>First, $a$ becomes $2$. Next, $d = 0 \oplus 2 = 2$. Finally, rotating the binary representation of $2$ left by $16$ bits moves the set bit to the $17$th position, resulting in $0x00020000$. Other options result from incorrect bitwise shifts.</t>
  </si>
  <si>
    <t>The Trusted Platform Module (TPM) uses Platform Configuration Registers (PCRs) to measure the boot process. Which operations can be performed on a PCR? (Select all that apply.)
A) Read the current value.
B) Write an arbitrary value.
C) Extend a value ($PCR_{new} = Hash(PCR_{old} || Data)$).
D) Reset (upon reboot).</t>
  </si>
  <si>
    <t>A PCR can be read (A), extended via a cryptographic hash (C), and is automatically reset upon reboot (D). It cannot be arbitrarily written to (B), as this would break the chain of trust for integrity measurement.</t>
  </si>
  <si>
    <t>In IPSec "Transport Mode," the entire original IP packet (including the original IP header) is encrypted and encapsulated within a new IP packet.</t>
  </si>
  <si>
    <t>In transport mode, only the payload is encrypted; the original IP header remains unencrypted and unchanged.</t>
  </si>
  <si>
    <t>Principal Components Regression (PCR) generally yields models in which some of the original features do not aﬀect the prediction.</t>
  </si>
  <si>
    <t>PCR uses linear combinations of all features; thus, every original feature typically contributes to the final prediction model.</t>
  </si>
  <si>
    <t>In a linked list, nodes are always stored in contiguous memory locations.</t>
  </si>
  <si>
    <t>Linked list nodes can be stored anywhere in memory, connected by pointers.</t>
  </si>
  <si>
    <t>In a doubly linked list, deletion of a node can be done in O (1) time if a pointer to the node to be deleted is given.</t>
  </si>
  <si>
    <t>With a pointer to the node, you can directly update the neighboring nodes' pointers without traversal.</t>
  </si>
  <si>
    <t>Which of the following are more typical of a RISC-like (reduced instruction set computer) when compared to the CISC-like design philosophy? (Select all that apply.)
A) Making sure more commonly used instructions have shorter encodings.
B) Allowing all instructions to access memory rather than varying what kinds of operands different instructions can have.
C) Using a fixed-length encoding for instructions.
D) Making each instruction have at most one output register.</t>
  </si>
  <si>
    <t>CISC often uses variable-length encodings and complex memory addressing, while RISC emphasizes fixed-length instructions (C) and simple, single-output operations (D) for pipelining efficiency. RISC does not prioritize shorter common instructions (A) nor unrestricted memory access (B).</t>
  </si>
  <si>
    <t>In a memory system, the access time includes only the time to transfer data once the correct location is reached.</t>
  </si>
  <si>
    <t>Access time includes both latency to locate data and transfer time.</t>
  </si>
  <si>
    <t>The space complexity of an algorithm is defined as the function of memory space needed by the algorithm to run to completion, and it is less important than time complexity in all cases.</t>
  </si>
  <si>
    <t>Space constraints can be critical, such as in embedded systems with limited memory.</t>
  </si>
  <si>
    <t>The height of a binary tree with n nodes can be as large as ______.</t>
  </si>
  <si>
    <t>n-1</t>
  </si>
  <si>
    <t>In the worst-case scenario of a skewed tree, each node has only one child, creating a linear structure. Consequently, the height becomes n - 1, reflecting the maximum possible distance from the root to the deepest leaf node.</t>
  </si>
  <si>
    <t>Which of the following scenarios would render a "SameSite=Lax" cookie ineffective against CSRF? (Select all that apply.)
A) The application processes state-changing actions via HTTP GET requests.
B) The attacker triggers the request inside a standard &lt;iframe&gt;.
C) The user is using an older browser that does not support the SameSite attribute.
D) The application is hosted on a subdomain of the attacker's site (e.g., victim.example.com and attacker.example.com).</t>
  </si>
  <si>
    <t>A is correct because GET requests are considered "safe" and SameSite=Lax cookies are sent with top-level navigations via GET, leaving them vulnerable if state changes use GET. C is correct as older browsers ignore the attribute, offering no protection. D is correct because SameSite=Lax only restricts cross-site requests, not same-site ones; subdomains under the same eTLD+1 (like example.com) are considered same-site, so the cookie would be sent. B is incorrect because a standard `&lt;iframe&gt;` is a cross-site context, and Lax cookies are not sent in cross-site subrequests, thus the protection remains effective.</t>
  </si>
  <si>
    <t>K-means clustering (using standard Euclidean distance) is scale invariant.</t>
  </si>
  <si>
    <t>K-means is not scale invariant because changing feature scales alters Euclidean distances, which directly affects cluster assignments.</t>
  </si>
  <si>
    <t>If two ECDSA signatures (r, s1) and (r, s2) use the same random nonce k for messages with hashes z1 and z2, which formula correctly recovers k?
A) k = (z1 - z2)(s1 - s2)^-1 mod n
B) k = (z1 + z2)(s1 + s2)^-1 mod n
C) k = (s1 - s2)(z1 - z2)^-1 mod n
D) k = (s1 z1 - s2 z2) mod n</t>
  </si>
  <si>
    <t>Subtracting the two signature equations $s_1 = k^{-1}(z_1 + rd)$ and $s_2 = k^{-1}(z_2 + rd)$ eliminates the private key $d$, yielding $s_1 - s_2 = k^{-1}(z_1 - z_2)$. Solving for $k$ produces the recovery formula in option A.</t>
  </si>
  <si>
    <t>To effectively prevent Cross-Site Scripting (XSS) using Content Security Policy (CSP), developers must avoid using the '______' directive in script-src, as it allows the execution of inline &lt;script&gt; blocks and event handlers.</t>
  </si>
  <si>
    <t>unsafe-inline</t>
  </si>
  <si>
    <t>Using 'unsafe-inline' in the script-src directive disables CSP's primary protection by permitting inline scripts and event handlers, which are common vectors for XSS attacks, thus leaving the application vulnerable.</t>
  </si>
  <si>
    <t>Comparing Extendible Hashing and Linear Hashing, which statements are true? (Select all that apply.)
A) Extendible Hashing uses a global directory that doubles in size when the global depth increases.
B) Linear Hashing requires a directory structure similar to Extendible Hashing.
C) Linear Hashing splits buckets in a deterministic round-robin order (controlled by a "split pointer"), regardless of which specific bucket overflowed.
D) Extendible Hashing guarantees at most one disk access to retrieve a data page (assuming the directory is in memory).</t>
  </si>
  <si>
    <t>Extendible Hashing uses a directory that doubles when global depth increases (A). Linear Hashing splits buckets in a deterministic order using a split pointer (C). With the directory in memory, Extendible Hashing needs only one disk access (D). Linear Hashing does not require a separate directory structure (B is false).</t>
  </si>
  <si>
    <t>In AES-GCM, reusing the Initialization Vector (IV) with the same key allows an attacker to recover the authentication key (the hash subkey $H$), enabling the forgery of valid tags for any message.</t>
  </si>
  <si>
    <t>Reusing the IV in AES-GCM allows an attacker to compute the hash subkey \(H\), which compromises tag integrity.</t>
  </si>
  <si>
    <t>You are building a classification model to distinguish between labels from a synthetically
generated dataset. More specifically, you are given a dataset, \{(x^{(i)}, y^{(i)})\}_{i=1}^m, \quad x^{(i)} \in \mathbb{R}^2,\; y^{(i)} \in \{0,1\}.  The data is generated with the scheme: X|Y = 0 ∼ N(2,2); X|Y = 1 ∼ N(0,3); You can assume the dataset is perfectly balanced between the two classes. As a baseline, you decide to use a logistic regression model to fit the data. Since the data is synthesized easily, you can assume you have infinitely many samples (i.e. m →∞). After training on a large training set of size M, your logistic regressor achieves a training accuracy of T. Can the following techniques, applied individually, improve over this training accuracy? Please justify your answer.</t>
  </si>
  <si>
    <t>The key here is to realize the logistic regression model is a linear classifier and suﬀers from high bias. Since we assume the model has been trained to convergence, the only techniques that can help are ones that increase variance of the model. We need not worry about overfitting since we care only about improving the training performance.</t>
  </si>
  <si>
    <t>No, because logistic regression's linear decision boundary cannot perfectly separate classes with different variances, and infinite data ensures optimal linear fit, so training accuracy is already maximized for this model class.</t>
  </si>
  <si>
    <t>A binary classification problem could be solved with the two approaches described below: Approach 1: Simple Logistic Regression (one neuron); Your output will be \ˆ{y} = σ(W_l*x+ b_l); Classify as 0 if \ˆ{y}≤0.5 and 1 otherwise. Approach 2: simple softmax regression (two neurons); Your output will be \ˆ{y} = softmax(W_s*x+ b_s) = [\ˆ{y}_1, \ˆ{y}_2]^T; Classify as 0 if \ˆ{y}1 ≥ \ˆ{y}2 and 1 otherwise. Approach 2 involves twice as many parameters as approach 1. Can approach 2 learn more complex models than approach 1? If yes, give the parameters (W_s,b_s) of a function that can be modeled by approach 2 but not by approach 1. If no, show that (W_s,b_s) can always be written in terms of (W_l,b_l).</t>
  </si>
  <si>
    <t>No. Approach 1 uses $w_1x + b_1 \geq 0$. Approach 2 yields $\exp(w_2^1x + b_2^1) \geq \exp(w_2^2x + b_2^2)$, simplifying via monotonicity to $(w_2^1 - w_2^2)x + (b_2^1 - b_2^2) \geq 0$. Both represent identical linear decision boundaries by setting $w_1 = w_2^1 - w_2^2$ and $b_1 = b_2^1 - b_2^2$.</t>
  </si>
  <si>
    <t>No, because the softmax outputs are constrained to sum to 1, so the decision boundary for class 0 (\(\hat{y}_1 \geq \hat{y}_2\)) reduces to \(W_l x + b_l \geq 0\), which is equivalent to the logistic regression boundary, showing no increase in model complexity.</t>
  </si>
  <si>
    <t>Describe the concept of stored-program organization in a computer. How does the instruction format support this organization?</t>
  </si>
  <si>
    <t>Stored-program organization means instructions and data are stored in the same memory. The CPU fetches instructions sequentially from memory, interprets them, and executes the specified operations. The instruction format divides the memory word into fields: an operation code specifying the operation and an address field specifying operand location. For example, a 16-bit instruction may have 4 bits for opcode and 12 bits for memory address, enabling the CPU to access operands from memory efficiently. This format supports the fetch-decode-execute cycle fundamental to stored-program computers</t>
  </si>
  <si>
    <t>A satisfactory answer must define stored-program organization as storing both instructions and data in the same memory, and explain how the instruction format's opcode and address fields enable the CPU to fetch and execute these stored instructions sequentially.</t>
  </si>
  <si>
    <t>Explain the difference between hardwired control and microprogrammed control in a computer's control unit. What are the advantages and disadvantages of each method?</t>
  </si>
  <si>
    <t>Hardwired control uses fixed digital logic circuits such as gates and flip-flops to generate control signals for the CPU. It is fast and optimized for a specific instruction set but inflexible, as any change requires redesigning the circuitry. Microprogrammed control stores control signals as microinstructions in a control memory, allowing easier modification and expansion of the instruction set by updating microcode. However, it typically operates slower than hardwired control due to memory access delays. The hardwired design suits simple, fast processors, while microprogrammed control offers adaptability for complex instruction sets</t>
  </si>
  <si>
    <t>A satisfactory answer must define both methods, contrast their implementation (fixed logic vs. stored microcode), and list at least one advantage (speed for hardwired, flexibility for microprogrammed) and one disadvantage (inflexibility vs. slower speed) for each.</t>
  </si>
  <si>
    <t>Which of the following statements regarding NP-complete and NP-hard problems are correct? (Select all that apply.)
A) NP stands for non-deterministic polynomial.
B) NP-complete problems have efficient polynomial time algorithms currently known.
C) NP-hard problems do not necessarily belong to NP.
D) Approximation algorithms are heuristics used to find near-optimal solutions to NP-hard problems.</t>
  </si>
  <si>
    <t>NP stands for nondeterministic polynomial, so A is correct. NP-hard problems may be outside NP, making C correct. Approximation algorithms provide near-optimal solutions for NP-hard problems, so D is correct. NP-complete problems lack known polynomial-time algorithms, making B incorrect.</t>
  </si>
  <si>
    <t>Checking for balanced parentheses in expressions is an application of the ________ data structure.</t>
  </si>
  <si>
    <t>stack</t>
  </si>
  <si>
    <t>Checking for balanced parentheses uses a stack because it follows a last-in, first-out order, allowing you to push opening symbols and pop them when encountering matching closing symbols to verify correct nesting.</t>
  </si>
  <si>
    <t>Consider a table `T` with a column `val` containing `{1, 2, NULL}`. Which of the following queries will return zero rows? (Select all that apply.)
A) `SELECT * FROM T WHERE val = NULL`
B) `SELECT * FROM T WHERE val &lt;&gt; NULL`
C) `SELECT * FROM T WHERE val NOT IN (3, NULL)`
D) `SELECT * FROM T WHERE val IN (1, NULL)`</t>
  </si>
  <si>
    <t>A, B, and C return zero rows because `NULL` is not equal to any value, including itself, so comparisons with `=` or `&lt;&gt;` fail. `NOT IN` with `NULL` in the list always returns false. D returns rows where `val` is 1, as `IN` matches non-null values.</t>
  </si>
  <si>
    <t>In RV32I, how many data are loaded from the main memory respectively (excluding the
sign-extension bits) by the instructions lw and lh? (Select all that apply.) 
A) 4 bits and 2 bits
B) 32 bits and 16 bits
C) 2 bytes and 1 byte
D) 4 bytes and 2 bytes</t>
  </si>
  <si>
    <t>In RV32I, lw stands for load word, which retrieves 32 bits or 4 bytes. Similarly, lh stands for load half-word, retrieving 16 bits or 2 bytes. Options A and C are incorrect due to improper unit conversions.</t>
  </si>
  <si>
    <t>Given relations R(A,B) and S(A,C), the natural join R▹◃S is equal to R∩S.</t>
  </si>
  <si>
    <t>The natural join combines matching tuples on attribute A, while intersection requires identical tuples across all attributes.</t>
  </si>
  <si>
    <t>In the ARIES recovery algorithm, during the Undo phase, when a transaction's update is rolled back, a special log record called a ______ is written to the log to ensure that the undo action is never undone again (i.e., to guarantee the "redo-only" property).</t>
  </si>
  <si>
    <t>CLR (or Compensation Log Record)</t>
  </si>
  <si>
    <t>Compensation Log Records (CLRs) are written during rollback to record the undoing of an operation. By pointing to the previous log record of the transaction, CLRs ensure that undo actions are never repeated during subsequent recovery attempts.</t>
  </si>
  <si>
    <t>Which operation is essential for maintaining the heap property in a treap?
A) Rotation
B) Insertion only
C) Hashing
D) Sequential search</t>
  </si>
  <si>
    <t>Rotation is essential because it adjusts the tree structure to satisfy both the binary search tree order and the heap priority after insertions or deletions, which the other operations do not address.</t>
  </si>
  <si>
    <t>Which of the following is NOT a property of a B-tree of order m?
A) Each node has at most m children.
B) All leaf nodes appear at the same level.
C) Every node except root and leaf has at least ⎡m/2⎤ children.
D) The keys in a node are stored in descending order.</t>
  </si>
  <si>
    <t>In a B-tree, keys within a node are stored in ascending order, not descending. Properties A, B, and C are standard B-tree definitions, making D the non-property.</t>
  </si>
  <si>
    <t>The frequency count of a statement inside nested loops is always the product of the loop bounds.</t>
  </si>
  <si>
    <t>The statement may not execute in every iteration due to conditional logic.</t>
  </si>
  <si>
    <t>The standard Diffie-Hellman key exchange protocol is vulnerable to Man-in-the-Middle (MitM) attacks because it does not authenticate the identity of the participants.</t>
  </si>
  <si>
    <t>Diffie-Hellman only establishes a shared secret without verifying who you are communicating with.</t>
  </si>
  <si>
    <t>Simply decreasing the size of block headers used internally by malloc:
A) Decreases internal fragmentation
B) Increases internal fragmentation
C) Decreases external fragmentation
D) Increases external fragmentation</t>
  </si>
  <si>
    <t>Decreasing header size reduces the fixed overhead per allocated block, leaving more usable space within each block and thus decreasing internal fragmentation. It does not affect how free blocks are managed, so external fragmentation remains unchanged.</t>
  </si>
  <si>
    <t>You have a dataset D1 with 1 million labelled training examples for classification, and dataset D2 with 100 labelled training examples. Your friend trains a model from scratch on dataset D2. You decide to train on D1, and then apply transfer learning to train on D2. State one problem your friend is likely to find with his approach. How does your approach address this problem?</t>
  </si>
  <si>
    <t>Friend is likely to see overfitting. Model is not going to generalise well to unseen data. By using transfer learning and freezing the weights in the earlier layers, you reduce the number of learnable parameters, while using the weights which have been pretrained on a much larger dataset.</t>
  </si>
  <si>
    <t>Your friend's model may overfit due to limited data, while transfer learning from D1 provides robust feature representations, enabling effective fine-tuning on D2 with reduced overfitting and better generalization from limited examples.</t>
  </si>
  <si>
    <t>In the addition of two polynomials represented as singly linked lists sorted by descending powers, if the exponents at the current nodes differ, the node with the _______ exponent is appended to the result list.</t>
  </si>
  <si>
    <t>higher</t>
  </si>
  <si>
    <t>To maintain descending order, the term with the higher exponent must be added to the result list first when exponents do not match. This ensures the resulting polynomial remains correctly sorted before moving the corresponding pointer to the next term.</t>
  </si>
  <si>
    <t>Which of the following best explains the 'backtracking' algorithm?
A) It always finds the optimal solution by exploring all possibilities exhaustively.
B) It uses a breadth-first search to enumerate all solutions.
C) It prunes the search space by abandoning partial candidates that cannot lead to a valid solution.
D) It is a heuristic that guarantees the best solution in polynomial time.</t>
  </si>
  <si>
    <t>Backtracking incrementally builds candidates and abandons those that fail constraints, pruning the search space. It does not guarantee optimality (A), use breadth-first search (B), or always run in polynomial time (D).</t>
  </si>
  <si>
    <t>Given 6 data points in 5-d space, (1, 1, 1, 0, 0), (−3,−3,−3, 0, 0), (2, 2, 2, 0, 0), (0, 0, 0,−1,−1), (0, 0, 0, 2, 2), (0, 0, 0,−1,−1). We can represent these data points by a 6 × 5 matrix X, where each row corresponds to a data point: $ \begin{matrix} 1 &amp; 1 &amp; 1 &amp; 0 &amp; 0 \\ -3 &amp; -3 &amp; -3 &amp; 0 &amp; 0 \\ 2 &amp; 2 &amp; 2 &amp; 0 &amp; 0 \\ 0 &amp; 0 &amp; 0 &amp; -1 &amp; -1 \\ 0 &amp; 0 &amp; 0 &amp; 2 &amp; 2 \\ 0 &amp; 0 &amp; 0 &amp; -1 &amp; -1 \end{matrix}  $ If we want to project the original data points into 1-d space by principle component you choose, the variance of the projected data is ______ (enter a value).</t>
  </si>
  <si>
    <t>After centering the data, the first principal component aligns with the $(1, 1, 1, 0, 0)$ direction. The projected values are $\sqrt{3}, -3\sqrt{3}, 2\sqrt{3}, 0, 0, 0$, and their population variance is calculated as $(3 + 27 + 12 + 0 + 0 + 0) / 6 = 7$.</t>
  </si>
  <si>
    <t>Explain why a linked list can be more efficient than an array for insertion and deletion operations, and under what circumstances an array might still be preferred.</t>
  </si>
  <si>
    <t>Linked lists allow insertion and deletion without shifting elements because nodes are connected via pointers, making these operations constant-time if the position is known. Arrays require shifting elements, resulting in linear-time overhead for such operations. However, arrays provide direct index-based access and better cache locality, making them preferable for frequent random access or when the data size is fixed and predictable.</t>
  </si>
  <si>
    <t>Linked lists allow O(1) insertions/deletions at known positions by adjusting pointers, avoiding costly element shifts. Arrays are preferred for random access due to O(1) indexing and better cache locality for sequential data.</t>
  </si>
  <si>
    <t>Topological sorting arranges objects obeying precedence into a linear sequence such that if object Oi precedes Oj, then i ______ j.</t>
  </si>
  <si>
    <t>&lt; (less than)</t>
  </si>
  <si>
    <t>In a valid topological order, all precedence constraints must be satisfied, meaning if Oi must come before Oj, then Oi's position index i in the final linear sequence must be less than Oj's index j.</t>
  </si>
  <si>
    <t>In an Elliptic Curve Diffie-Hellman (ECDH) exchange, what happens if a user accidentally (or maliciously) sends a public key that lies on the "twist" of the curve rather than the correct curve, and the implementation does not validate this?
A) The private key can be recovered using the Pohlig-Hellman algorithm because the twist often has a smaller order with small prime factors.
B) The shared secret becomes 0 (the point at infinity).
C) The encryption becomes equivalent to RSA-1024.
D) The handshake fails immediately with a signature error.</t>
  </si>
  <si>
    <t>The twist often has a smaller, smooth order, making it vulnerable to Pohlig-Hellman for private key recovery. The handshake may not fail, the shared secret is not necessarily zero, and it does not become equivalent to RSA.</t>
  </si>
  <si>
    <t>The time complexity class of problems for which no known polynomial-time algorithms exist but whose solutions can be verified in polynomial time is called _______.</t>
  </si>
  <si>
    <t>NP-complete</t>
  </si>
  <si>
    <t>NP-complete problems represent the hardest set in NP, lacking known polynomial-time solution algorithms yet allowing efficient verification. They are significant because a polynomial-time solution for one would imply $P = NP$, resolving a fundamental question in computational complexity.</t>
  </si>
  <si>
    <t>Which of the following statements about linked lists and their variants are true? (Select all that apply.)
A) Singly linked lists store data and a pointer to the next node.
B) Doubly linked lists store pointers to both previous and next nodes and allow bidirectional traversal.
C) Circular linked lists store NULL pointers in the last node's next field.
D) Multi-linked lists can have multiple pointers in each node organizing data in multiple orders.</t>
  </si>
  <si>
    <t>Singly linked lists store data and a pointer to the next node (A). Doubly linked lists store pointers to both previous and next nodes, enabling bidirectional traversal (B). Multi-linked lists can have multiple pointers per node for multiple orderings (D). Circular linked lists do not end with a NULL pointer (C is false).</t>
  </si>
  <si>
    <t>The ReLU activation function is differentiable everywhere on the real line.</t>
  </si>
  <si>
    <t>ReLU is not differentiable at zero, where its left and right derivatives differ.</t>
  </si>
  <si>
    <t>In a circular queue, the rear pointer always points to the last element inserted.</t>
  </si>
  <si>
    <t>After each enqueue, rear advances modulo capacity to the newly occupied slot, so it references the most recently added item.</t>
  </si>
  <si>
    <t>The number of nodes in a binomial tree of order i is ______.</t>
  </si>
  <si>
    <t>2^i</t>
  </si>
  <si>
    <t>A binomial tree of order \(i\) is constructed recursively by linking two binomial trees of order \(i-1\), doubling the node count each time, so the total number of nodes is \(2^i\).</t>
  </si>
  <si>
    <t>Explain how the following steps are performed in JDBC: 1. Connect to a data source. 2. Start, commit, and abort transactions. 3. Call a stored procedure. How are these steps performed in SQLJ?</t>
  </si>
  <si>
    <t>1. Connecting to a data source in JDBC involves the creation of a Connection object.
Parameters for the connection are specified using a JDBC URL that contains things like the network address of the database server and the username and password for connecting. SQLJ makes calls to the same JDBC drver for connecting to a data source and uses the same type of JDBC URL.
2. Each connection can specify how to handle transactions. If the autocommit flag is set, each SQL statement is treated as a separate transaction. If the flag is turned oﬀ, there is a commit() function call that will actually commit the transaction. The autocommit flag can also be set in SQLJ. If the flag is not set, transactions are committed by passing a COMMIT SQL statement to the DBMS.
3. Stored procedures are called from JDBC using the CallableStatement class with the SQL command {CALL StoredProcedureName}. SQLJ also uses CALL StoredProcedureName to execute stored prodecures at the DBMS.</t>
  </si>
  <si>
    <t>A satisfactory answer must compare JDBC's explicit API calls (DriverManager, Connection, Statement) with SQLJ's embedded SQL approach, highlighting how SQLJ simplifies transaction control and stored procedure invocation through direct SQL syntax within Java code.</t>
  </si>
  <si>
    <t>The "None Algorithm" attack against JSON Web Tokens (JWT) involves:
A) Removing the signature section and changing the header to {"alg": "none"}.
B) Brute-forcing the HMAC secret key.
C) Replaying an expired token.
D) Changing the algorithm from RS256 to HS256 to confuse the verification logic.</t>
  </si>
  <si>
    <t>The "None Algorithm" attack exploits JWT libraries that accept unsigned tokens by setting the algorithm header to "none," effectively removing signature verification, while the other options describe different JWT attacks like brute-forcing, replay, or algorithm confusion.</t>
  </si>
  <si>
    <t>Which RAID level suffers from the "Write Penalty" where a single random write request translates to 2 reads and 2 writes (4 I/O operations)?
A) RAID 0
B) RAID 1
C) RAID 5
D) RAID 10</t>
  </si>
  <si>
    <t>RAID 5 uses parity for redundancy, so updating a data block requires reading the old data and parity, computing new parity, and writing both, resulting in four I/Os. Other levels either lack parity or mirror data, avoiding this specific penalty.</t>
  </si>
  <si>
    <t>A program blocks SIGCHLD and SIGUSR1. It is then sent a SIGCHLD, a SIGUSR1, and another
SIGCHLD, in that order. What signals does the program receive after it unblocks both of those signals (you may assume the program does not receive any more signals after)?
A) None, since the signals were blocked they are all discarded.
B) Just a single SIGCHLD, since all subsequent signals are discarded.
C) Just a single SIGCHLD and a single SIGUSR1, since the extra SIGCHLD is discarded.
D) All 3 signals, since no signals are discarded.</t>
  </si>
  <si>
    <t>When a signal is blocked, multiple instances of the same signal are merged into one pending instance, but distinct signals remain separate. Thus, the two SIGCHLDs merge into one, while SIGUSR1 remains, resulting in one SIGCHLD and one SIGUSR1 delivered upon unblocking.</t>
  </si>
  <si>
    <t>The ________________ is a special storage in the CPU organized as a last-in, first-out (LIFO) structure, commonly used for temporary storage of addresses or data.</t>
  </si>
  <si>
    <t>The stack is a LIFO memory structure within the CPU, primarily used to store return addresses during subroutine calls and to temporarily hold register values, ensuring proper program flow and efficient memory management.</t>
  </si>
  <si>
    <t>The enqueue operation in a linear queue implemented using an array always requires shifting elements to the front if the queue is not empty.</t>
  </si>
  <si>
    <t>Shifting is only needed in a naive implementation; a circular array avoids this by wrapping indices.</t>
  </si>
  <si>
    <t>__________ is defined as the process of generating analysis and designing documents</t>
  </si>
  <si>
    <t>Reverse engineering</t>
  </si>
  <si>
    <t>Reverse engineering involves analyzing a software system to identify its components and interrelationships. This process recovers high-level abstractions and design information from existing code, allowing for the generation of analysis and design documents to understand or legacy systems.</t>
  </si>
  <si>
    <t>You’re solving a binary classification task. You first try a logistic regression. You initialize all weights to 0.5. Is this a good idea? Briefly explain why or why not.</t>
  </si>
  <si>
    <t>Yes. For logistic regression with a convex cost function you’ll have just a single optimal point and it does not matter where you start, the starting point just changes the number of epochs to reach to that optimal point.</t>
  </si>
  <si>
    <t>No, because symmetric weight initialization prevents neurons from differentiating, causing identical gradient updates and preventing effective learning. This symmetry must be broken for the model to converge to a meaningful solution.</t>
  </si>
  <si>
    <t>Given p=23, g=5. Alice (a=6) sends A=8. Bob (b=15) sends B=19. Attacker Eve (e=13) intercepts and replaces keys, sending E=21 to Bob. What is the shared key calculated by Bob?
A) 7
B) 18
C) 19
D) 2</t>
  </si>
  <si>
    <t>Bob raises Eve’s forged public value to his secret exponent: 21^{15} mod 23. Since 21≡−2, (−2)^{15}=−2^{15}; 2^{15}≡16 (mod 23), so the key is 23−16 = 7. Other options give incorrect residues.</t>
  </si>
  <si>
    <t>Consider a binary classification problem in a d-dimensional instance space X = R^d. Your friend has a training set containing m labeled examples. She computes two m×m kernel matrices, K1 and K2, and gives them to you. The first matrix K1 is obtained by applying an RBF kernel K(x,x′) = e^(−∥x−x′∥^2) to the original d-dimensional data points. The second matrix K2 is obtained by selecting r &lt; d features and applying the RBF kernel (with the same width parameter as before) to the reduced r-dimensional data points. You are given these two kernel matrices and are asked to train an SVM classifier in each case. The training time for K2 will be:
A) smaller than that for K1
B) greater than that for K1
C) roughly similar to that for K1
D) not determinable</t>
  </si>
  <si>
    <t>SVM training time depends primarily on the number of training examples $m$ and the size of the kernel matrix, which is $m \times m$ in both cases. Since the kernel matrices are precomputed, the original dimensionality $d$ or $r$ does not affect the optimization solver's runtime.</t>
  </si>
  <si>
    <t>Explain the characteristics of SRS.</t>
  </si>
  <si>
    <t>Software requirements specification should be accurate, complete, efficient, and of high quality, so that it does not affect the entire project plan. An SRS is said to be of high quality when the developer and user easily understand the prepared document. Other characteristics of SRS are discussed below.
Correct: SRS is correct when all user requirements are stated in the requirements
document. The stated requirements should be according to the desired system. This implies that each requirement is examined to ensure that it (SRS) represents user requirements. Note that there is no specified tool or procedure to assure the correctness of SRS. Correctness ensures that all specified
requirements are performed correctly.
Unambiguous: SRS is unambiguous when every stated requirement has only one
interpretation. This implies that each requirement is uniquely interpreted. In case there is a term used with multiple meanings, the requirements document should specify the meanings in the SRS so that it is clear and easy to understand.
Complete: SRS is complete when the requirements clearly define what the software is required to do. This includes all the requirementsrelated to performance, design and functionality.
Ranked for importance/stability: All requirements are not equally important, hence each requirement is identified to make differences among other requirements. For this, it is essential to clearly identify each requirement. Stability implies the probability of changes in the requirement in future.
Modifiable: The requirements of the user can change, hence requirements document should
be created in such a manner that those changes can be modified easily, consistently maintaining the structure and style of the SRS.
Traceable: SRS is traceable when the source of each requirement is clear and facilitates the
reference of each requirement in future. For this, forward tracing and backward tracing are used.
Forward tracing implies that each requirement should be traceable to design and code elements.
Backward tracing implies defining each requirement explicitly referencing its source.
Verifiable: SRS is verifiable when the specified requirements can be verified with a cost-
effective process to check whether the final software meets those requirements. The requirements
are verified with the help of reviews. Note that unambiguity is essential for verifiability.
Consistent: SRS is consistent when the subsets of individual requirements defined do not
conflict with each other. For example, there can be a case when different requirements can use
different terms to refer to the same object. There can be logical or temporal conflicts between the
specified requirements and some requirements whose logical or temporal characteristics are not
satisfied. For instance, a requirement states that an event 'a' is to occur before another event 'b'. But
then another set of requirements states (directly or indirectly by transitivity) that event 'b' should
occur before event 'a'.</t>
  </si>
  <si>
    <t>A satisfactory answer must define SRS as a formal document specifying software requirements, covering its key characteristics: correctness, completeness, consistency, unambiguity, verifiability, modifiability, and traceability, explaining each's role in guiding development.</t>
  </si>
  <si>
    <t>In associative memory, the match logic outputs a 1 for a stored word only if every bit in the word exactly matches the given key bits.</t>
  </si>
  <si>
    <t>Associative memory identifies content by comparing input bits against stored data, requiring all unmasked bits to match for activation.</t>
  </si>
  <si>
    <t>What is the logical order of execution for a SQL query containing the following clauses?
A) SELECT, FROM, WHERE, GROUP BY, HAVING
B) FROM, WHERE, GROUP BY, HAVING, SELECT
C) FROM, SELECT, WHERE, GROUP BY, HAVING
D) FROM, WHERE, SELECT, GROUP BY, HAVING</t>
  </si>
  <si>
    <t>The logical order of execution is determined by how the database engine processes the query to retrieve and transform data, not by the written order of clauses. The correct sequence is FROM (to identify the table), WHERE (to filter rows), GROUP BY (to aggregate), HAVING (to filter groups), and finally SELECT (to project columns).</t>
  </si>
  <si>
    <t>Discuss the strengths and weaknesses of the trigger mechanism. Contrast triggers with other integrity constraints supported by SQL.</t>
  </si>
  <si>
    <t>A trigger is a procedure that is automatically invoked in response to a specified change to the database. The advantages of the trigger mechanism include the ability to perform an action based on the result of a query condition. The set of actions that can be taken is a superset of the actions that integrity constraints can take (i.e. report an error). Actions can include invoking new update, delete, or insert queries, perform data definition statements to create new tables or views, or alter security policies. Triggers can also be executed before or after a change is made to the database (that is, use old or new data).
There are also disadvantages to triggers. These include the added complexity when
trying to match database modifications to trigger events. Also, integrity constraints
are incorporated into database performance optimization; it is more diﬃcult for a
database to perform automatic optimization with triggers. If database consistency is
the primary goal, then integrity constraints oﬀer the same power as triggers. Integrity
constraints are often easier to understand than triggers.</t>
  </si>
  <si>
    <t>A satisfactory answer must explain triggers' procedural flexibility and event-driven execution, contrast them with declarative constraints like CHECK and FOREIGN KEY, and discuss trade-offs in performance, complexity, and maintainability.</t>
  </si>
  <si>
    <t>In a Moore FSM, the output depends only on the current state; in a Mealy FSM, the output depends on both the current state and the inputs.</t>
  </si>
  <si>
    <t>Moore outputs are state-defined, while Mealy outputs also depend on current inputs.</t>
  </si>
  <si>
    <t>In a binary search tree (BST), for each node, all elements in the left subtree are _______ than the node’s key.</t>
  </si>
  <si>
    <t>less</t>
  </si>
  <si>
    <t>In a binary search tree, the left subtree contains keys that are strictly less than the node's key, which is a fundamental property ensuring efficient search, insertion, and deletion operations.</t>
  </si>
  <si>
    <t>Which of the following features or algorithms were removed or deprecated in the TLS 1.3 specification (RFC 8446) to improve security and performance? (Select all that apply.)
A) RSA Key Transport (Static RSA key exchange)
B) RC4 stream cipher
C) SHA-1 hash for digital signatures
D) CBC Mode ciphers (e.g., AES-CBC)</t>
  </si>
  <si>
    <t>TLS 1.3 removed RSA key transport (A) due to lack of forward secrecy, RC4 (B) for vulnerabilities, SHA-1 signatures (C) for weak collision resistance, and CBC mode (D) due to padding oracle attacks, streamlining the protocol for modern security.</t>
  </si>
  <si>
    <t>There is at least one set of 4 points in ℜ^3 that can be shattered by the hypothesis set of all 2D planes in ℜ^3.</t>
  </si>
  <si>
    <t>Hyperplanes in $\Re^{d}$ have a VC dimension of $d+1$; thus, planes in $\Re^{3}$ can shatter four non-coplanar points.</t>
  </si>
  <si>
    <t>When doing machine learning on large data sets, it is good practice to test which algorithms work best on a small subset of the data before running the best model on the whole data set, since the same algorithms that work best on small data sets almost always also work best on big sets of the same data.</t>
  </si>
  <si>
    <t>Algorithm performance can differ with scale due to computational constraints and statistical properties.</t>
  </si>
  <si>
    <t>Consider the query πA,B,C,D (R \bowtie_{A=C}S). Suppose that the projection routine is based on sorting and is smart enough to eliminate all but the desired attributes during the initial pass of the sort and also to toss out duplicate tuples on-the-fly while sorting, thus eliminating two potential extra passes. Finally, assume that you know the following: R is 10 pages long, and R tuples are 300 bytes long;  S is 100 pages long, and S tuples are 500 bytes long;  C is a key for S, and A is a key for R; The page size is 1024 bytes. Each S tuple joins with exactly one R tuple. The combined size of attributes A, B, C, and D is 450 bytes. A and B are in R and have a combined size of 200 bytes; C and D are in S.  Suppose that three buﬀer pages are available, and the only join method that is implemented is simple (page-oriented) nested loops. Compute the cost of doing the projection followed by the join. The total cost of I/Os is ______ (enter a value).</t>
  </si>
  <si>
    <t>Sorting S (100 pages) with three buffers costs 200 · ⌈log₂100⌉ = 1400 I/Os; deduplication leaves 30 pages. Sorting R costs 30 · ⌈log₂10⌉ = 120, yielding 6 pages. The simple nested-loops join then incurs 6 + 6·30 = 186 I/Os, giving 1586 total.</t>
  </si>
  <si>
    <t>What is the worst-case time complexity to build a binary heap of n elements?
A) O (log n)
B) O(n)
C) O(nlogn)
D) O(n^2)</t>
  </si>
  <si>
    <t>The correct answer is O(n) because building a heap bottom-up via repeated heapify-down operations on non-leaf nodes yields a linear aggregate complexity, not the O(n log n) cost of inserting elements one by one.</t>
  </si>
  <si>
    <t>The average number of nodes examined for a successful search in the keyword table example is approximately ________ where α is load factor.</t>
  </si>
  <si>
    <t>1 + α/2</t>
  </si>
  <si>
    <t>The hash computation examines one node; within its bucket, the average list length is α, requiring α/2 more comparisons on average under uniform hashing.</t>
  </si>
  <si>
    <t>Regarding k-NN classification, which are true? (Select all that apply.)
A) k-NN is a parametric method that learns a model with fixed parameters during training.
B) k-NN stores all training data and performs computation at testing time.
C) Increasing k generally increases robustness to noise but may reduce sensitivity to local structure.
D) Euclidean distance is the only metric applicable for k-NN.</t>
  </si>
  <si>
    <t>k-NN is non-parametric, storing all training data (B). A larger k smooths decision boundaries, increasing noise robustness but potentially blurring local patterns (C). It can use various distance metrics, not just Euclidean (D is false).</t>
  </si>
  <si>
    <t>Which of the following conditions generally favor the use of a Sort-Merge Join over a Hash Join? (Select all that apply.)
A) The input relations are already sorted on the join keys (e.g., via a clustered index).
B) The query includes a predicate with an inequality (e.g., `Join ON T1.a &gt; T2.b`).
C) The join predicate is an equality (`Join ON T1.a = T2.b`), and the output requires sorting on the join key.
D) One relation is significantly smaller than memory, while the other is massive.</t>
  </si>
  <si>
    <t>Pre-sorted inputs allow Sort-Merge to skip the expensive sorting phase, reducing overhead. Additionally, Sort-Merge naturally produces sorted output, satisfying downstream ordering requirements without an extra sort operation. Conversely, Hash Join excels with memory asymmetry and cannot handle inequalities.</t>
  </si>
  <si>
    <t>Which type of join returns all records from both tables when there is a match?
A) INNER JOIN
B) OUTER JOIN
C) FULL JOIN
D) CROSS JOIN</t>
  </si>
  <si>
    <t>A FULL JOIN returns all records from both tables, matching where possible and filling with NULLs otherwise. INNER JOIN returns only matches, OUTER JOIN is ambiguous (often LEFT/RIGHT), and CROSS JOIN returns all combinations.</t>
  </si>
  <si>
    <t>How do approximation algorithms address the challenges posed by NP-hard and NP-complete problems?</t>
  </si>
  <si>
    <t>Approximation algorithms provide heuristic solutions that are computationally feasible within reasonable time frames for problems where exact polynomial-time algorithms are unknown or unlikely to exist (NP-hard and NP-complete problems). They aim to find near-optimal or acceptable solutions by exploiting problem structure or intuitive methods rather than exhaustive search. This makes them practical for real-world applications where exact solutions are computationally prohibitive</t>
  </si>
  <si>
    <t>Approximation algorithms provide provably near-optimal solutions in polynomial time, bypassing the intractability of finding exact solutions for NP-hard problems by trading optimality for computational feasibility.</t>
  </si>
  <si>
    <t>Which of the following are true about the momentum update rule? (Select all that apply.)
A) It has no hyperparameters.
B) It better avoids local minima by keeping running gradient statistics.
C) If the network has n parameters, momentum requires that we keep track of O(n)
extra parameters.
D) None of the above</t>
  </si>
  <si>
    <t>The momentum update rule uses a hyperparameter (β) for the moving average, so A is false. It helps escape shallow local minima by accumulating past gradients, making B true. It stores a velocity vector of size n, so C is true.</t>
  </si>
  <si>
    <t>In a "CP" (Consistent and Partition-tolerant) distributed system, the system continues to accept write requests on all nodes during a network partition, but propagates them asynchronously.</t>
  </si>
  <si>
    <t>CP systems prioritize consistency over availability, so writes are blocked during a partition.</t>
  </si>
  <si>
    <t>An algorithm with time complexity O(2^n) is more efficient than one with time complexity O(n^3) for sufficiently large n.</t>
  </si>
  <si>
    <t>Exponential growth \(O(2^n)\) eventually surpasses polynomial \(O(n^3)\) for large \(n\).</t>
  </si>
  <si>
    <t>What are the primary differences between linear and nonlinear data structures, and how do trees and graphs exemplify nonlinear structures?</t>
  </si>
  <si>
    <t>Linear data structures organize elements sequentially, with a single predecessor and successor per element, such as arrays, stacks, and queues. Nonlinear data structures, like trees and graphs, allow hierarchical or networked relationships with nodes having multiple connections, enabling representation of complex relationships such as parent-child or arbitrary adjacency. The textbook classifies trees and graphs as nonlinear structures due to their branching and interconnected nature</t>
  </si>
  <si>
    <t>Linear structures arrange elements sequentially, while nonlinear ones allow branching. Trees are hierarchical with parent-child relationships, and graphs have nodes connected arbitrarily, both enabling complex data organization beyond simple sequences.</t>
  </si>
  <si>
    <t>Which one of the following statements about processes is false?
A) The operating system kernel runs as its own separate process.
B) Each process shares the CPU with other processes.
C) Each process has its own private address space.
D) The environment for a process is stored on the stack.</t>
  </si>
  <si>
    <t>The kernel is a protected privilege level rather than a user-mode process, existing within every process's address space. While CPUs are shared and address spaces are private, the environment is located on the stack, not in a separate process.</t>
  </si>
  <si>
    <t>Which types of locality are leveraged by virtual memory? (Select all that apply.)
A) Spatial locality
B) Temporal locality
C) Prime locality
D) Referential locality</t>
  </si>
  <si>
    <t>Virtual memory leverages spatial locality through prefetching contiguous pages and temporal locality by keeping recently accessed pages in memory. Prime and referential locality are not standard memory hierarchy concepts.</t>
  </si>
  <si>
    <t>Which of the following mechanisms can effectively mitigate DOM-based Cross-Site Scripting (XSS)? (Select all that apply.)
A) Implementing a strict Content Security Policy (CSP).
B) Encoding user input using HTML entity encoding before inserting it into innerHTML.
C) Using the HttpOnly flag on session cookies.
D) Sanitizing input using a library like DOMPurify before assigning it to a sink.</t>
  </si>
  <si>
    <t>A strict CSP prevents execution of unauthorized scripts, directly mitigating DOM XSS. DOMPurify sanitizes input by removing malicious scripts before insertion into DOM sinks. HTML entity encoding is ineffective for innerHTML, and HttpOnly only protects cookies from theft, not script execution.</t>
  </si>
  <si>
    <t>The __________ algorithm is used to find the shortest path from a single source node to all other nodes in a weighted graph with non-negative edge weights</t>
  </si>
  <si>
    <t>Dijkstra’s</t>
  </si>
  <si>
    <t>Dijkstra's algorithm iteratively selects the vertex with minimum tentative distance, relaxing its outgoing edges. It relies on non-negative weights to guarantee correctness via greedy optimal substructure.</t>
  </si>
  <si>
    <t>Which of the following is not a section of an ELF file?
A) .text
B) .static
C) .rodata
D) .data</t>
  </si>
  <si>
    <t>The .static section does not exist in ELF; .text, .rodata, and .data are standard sections for code, read-only data, and initialized data, respectively.</t>
  </si>
  <si>
    <t>In the RSA cryptosystem, the relationship between the public exponent $e$ and the private exponent $d$ is defined as $e \cdot d \equiv 1 \pmod n$, where $n$ is the modulus.</t>
  </si>
  <si>
    <t>The congruence must be modulo $\phi(n)$, not modulo $n$, for RSA's correctness.</t>
  </si>
  <si>
    <t>You want to solve a classification task. You first train your network on 20 samples. Training converges, but the training loss is very high. You then decide to train this network on 10,000 examples. Is your approach to fixing the problem correct? If yes, explain the most likely results of training with 10,000 examples. If not, give a solution to this problem.</t>
  </si>
  <si>
    <t>The model is suﬀering from a bias problem.
Increasing the amount of data reduces the variance, and is not likely to solve the
problem. A better approach would be to decrease the bias of the model by maybe adding more layers/ learnable parameters. It is possible that training converged to a local optimum. Training longer/using a better optimizer/ restarting from a diﬀerent initialization could also work.</t>
  </si>
  <si>
    <t>No, adding more data will not fix high training loss, which indicates underfitting. The model is too simple. Increase model capacity (e.g., more layers/neurons) or train longer first.</t>
  </si>
  <si>
    <t>Poly1305 is a one-time authenticator that requires a unique ______ for every message; reusing it allows an attacker to recover the key.</t>
  </si>
  <si>
    <t>nonce</t>
  </si>
  <si>
    <t>Poly1305 uses a unique nonce per message because reusing it reveals algebraic relationships between tags, enabling key recovery through solving linear equations derived from the authentication polynomial.</t>
  </si>
  <si>
    <t>You are given a content image XC and a style image, XS. You would like to apply neural style transfer to obtain an output image Y, with the content of XC and the style of XS, as discussed in section. You are told that you need a pretrained VGG-16 network to do this. What is the function of this pretrained network?</t>
  </si>
  <si>
    <t>The pretrained network is used to extract the content and the style from the two images. Intermediate features are used to extract the content, and the gram matrix is used to extract the style.</t>
  </si>
  <si>
    <t>The pretrained VGG-16 network serves as a feature extractor, providing separate deep representations for content and style from its convolutional layers, which are used to compute the content and style loss functions that guide the optimization of the output image.</t>
  </si>
  <si>
    <t>Which of the following system calls can fail due to a network failure?
A) socket(...)
B) listen(...)
C) bind(...)
D) gethostbyname(...)</t>
  </si>
  <si>
    <t>D is correct because gethostbyname performs DNS resolution, which requires network access. A, B, and C only set up local socket structures; they do not initiate network communication and thus cannot fail from a network outage.</t>
  </si>
  <si>
    <t>Given a stack implemented with the bottom at array index 1 and the top grows towards higher indices, what is the correct condition to check for stack overflow in an array of size n?
A) Top == 0
B) Top == n + 1
C) Top == n
D) Top == -1</t>
  </si>
  <si>
    <t>Since the top grows toward higher indices starting at index 1, overflow occurs when the top reaches the last usable index n. Thus, checking if Top == n correctly detects overflow.</t>
  </si>
  <si>
    <t>In the ARIES recovery algorithm, what is the specific purpose of the "Analysis" phase (the first phase of crash recovery)?
A) To undo changes made by transactions that were active at the time of the crash.
B) To replay history by re-applying all updates from the log to the database pages.
C) To determine the RedoLSN (the earliest log record that might require redoing) and the set of "Loser" transactions.
D) To force-write all dirty pages from the Buffer Pool to disk.</t>
  </si>
  <si>
    <t>The Analysis phase scans the log to identify the RedoLSN and loser transactions, establishing the starting point for Redo and the set for Undo. Other phases handle redoing updates, undoing losers, or flushing dirty pages.</t>
  </si>
  <si>
    <t>The internal organization of an associative memory cell includes a storage element and the ________________ circuit, which compares the stored bit with the argument bit and outputs a match signal for decision logic.</t>
  </si>
  <si>
    <t>match logic</t>
  </si>
  <si>
    <t>Each associative memory cell has match logic that compares the stored bit with the input argument bit and contributes to match decision for associative searches</t>
  </si>
  <si>
    <t>Given an input volume of shape (10, 10, 3), you consider using one of the two following layers: Fully-connected layer with 2 neurons, with biases; Convolutional layer with three 2x2 filters (with biases) with 0 padding and a stride of 2. If you use the fully-connected layer, the input volume is “flattened” into a column vector before being fed into the layer. What is the diﬀerence in the number of trainable parameters between these two layers?
A) The fully-connected layer has 566 fewer parameters
B) The convolutional layer has 566 fewer parameters
C) The convolutional layer has 564 fewer parameters
D) The convolutional layer has 563 fewer parameters</t>
  </si>
  <si>
    <t>The fully-connected layer has \(10 \times 10 \times 3 \times 2 + 2 = 602\) parameters, while the convolutional layer has \(3 \times (2 \times 2 \times 3 + 1) = 39\) parameters, a difference of 563.</t>
  </si>
  <si>
    <t>Discuss the role of hashing in file organization and the techniques used to resolve collisions.</t>
  </si>
  <si>
    <t>Hashing maps keys to locations in a hash table to enable fast data retrieval. Collisions occur when multiple keys map to the same location. Techniques like chaining use linked lists at each slot to store collided keys, while open addressing methods such as linear probing, quadratic probing, and double hashing find alternative locations. Double hashing reduces clustering better than other methods, improving efficiency</t>
  </si>
  <si>
    <t>Hashing enables direct file access via key-to-address mapping, but collisions occur when different keys map to the same address. Satisfactory answers must explain collision resolution techniques like chaining (linked lists) or open addressing (linear/quadratic probing, double hashing).</t>
  </si>
  <si>
    <t>The __________ data structure is a nonlinear structure consisting of nodes, where each node contains a key and references to multiple subtrees, unlike binary trees which have at most two children.</t>
  </si>
  <si>
    <t>M-way search tree</t>
  </si>
  <si>
    <t>M-way search trees generalize the binary search tree concept by allowing each node to hold up to $M-1$ keys and $M$ children. This multi-way branching reduces tree height, making it highly effective for external storage and database indexing.</t>
  </si>
  <si>
    <t>You want to build a classifier that predicts the musical instrument given an audio clip. There are 50 unique types of instruments, and you’ve collected a dataset of sounds of each, first collecting audio clips of guitars, then clips of violins, and so on for all the diﬀerent instruments. You use batch gradient descent (BGD) to optimize your loss function, but you have been getting poor training loss. You search your code for potential bugs and realize that you’re not shuﬄing the training data. Would shuﬄing the training fix this problem? Explain your reasoning.</t>
  </si>
  <si>
    <t>Shuﬄing the dataset will not have an impact on the gradients that are used to perform an update, as either way the entire dataset is used (since you are using batch GD).</t>
  </si>
  <si>
    <t>No, because BGD uses the entire dataset per update, so order does not affect the gradient calculation. The poor loss is likely due to other issues like model capacity or learning rate.</t>
  </si>
  <si>
    <t>In a binary heap represented as an array, if a node is at index *i*, what is the formula to find the index of its right child?
A) 2i
B) 2i + 1
C) ⌊i/2⌋
D) i + 1</t>
  </si>
  <si>
    <t>In a binary heap array representation, the root is at index 1, so the left child is at 2i and the right child is at 2i + 1. Option A gives the left child, C gives the parent, and D is unrelated to heap indexing.</t>
  </si>
  <si>
    <t>The Diffie-Hellman Key Exchange relies on the computational hardness of the ______ Logarithm Problem.</t>
  </si>
  <si>
    <t>Discrete</t>
  </si>
  <si>
    <t>The Diffie-Hellman protocol's security depends on the difficulty of computing discrete logarithms in a finite cyclic group, as reversing the public exchange to find the private key is computationally infeasible.</t>
  </si>
  <si>
    <t>In the ______ deadlock prevention scheme, if a transaction $T_{old}$ requests a lock held by $T_{young}$, $T_{old}$ is allowed to wait; but if $T_{young}$ requests a lock held by $T_{old}$, $T_{young}$ is aborted and restarted.</t>
  </si>
  <si>
    <t>Wait-Die</t>
  </si>
  <si>
    <t>In the Wait-Die scheme, older transactions can wait for younger ones, but younger transactions are aborted if they request a lock held by an older transaction, preventing cycles by ensuring only older transactions wait.</t>
  </si>
  <si>
    <t>Which of the following statements about balanced BSTs and their augmentations are correct? (Select all that apply.)
A) A BST is balanced if its height is O(log n).
B) Range counting queries on a count BST can be answered in O(log n + k) time where k is the output size.
C) The split operation divides a BST into two BSTs in O(log n) time.
D) Augmenting BST nodes with subtree size allows finding the k-th largest element in O(log n) time.</t>
  </si>
  <si>
    <t>Balanced trees maintain logarithmic height by definition, and splitting takes O(log n) through path restructuring. Subtree sizes enable logarithmic selection by bypassing branches. Statement B is incorrect because range counting takes O(log n) time; O(log n + k) applies to range reporting.</t>
  </si>
  <si>
    <t>We observe data sampled from the model y ∼N(w^Tx,σ^2). Since w is unknown, we would like to estimate it using linear regression. Adding priors to the parameters w, i.e. w_j ∼ N(0,λ^2) is equivalent to adding an L_2 penalty on the parameters in the objective function defined by log likelihood.</t>
  </si>
  <si>
    <t>Maximizing the posterior with Gaussian priors yields the same solution as minimizing negative log-likelihood plus an L₂ penalty term.</t>
  </si>
  <si>
    <t>Which project is undertaken as a consequence of a specific customer request?
A) Concept development projects
B) Application enhancement projects
C) New application development projects
D) Application maintenance projects</t>
  </si>
  <si>
    <t>New application development projects are initiated directly in response to a specific customer request to create a new system. Concept development projects explore ideas internally, enhancement projects improve existing applications, and maintenance projects address ongoing upkeep, none of which are driven by a specific customer request.</t>
  </si>
  <si>
    <t>You are applying batch normalization to a fully connected (dense) layer with an input size of 10 and output size of 20. The number of training parameters this layer have including batch normalization parameters is ______.</t>
  </si>
  <si>
    <t>The dense layer contains $10 \times 20 = 200$ weights. Batch normalization adds a learnable gamma and beta for each of the 20 outputs, totaling 40 parameters. Standard biases are omitted as beta serves the same purpose, totaling 240.</t>
  </si>
  <si>
    <t>How does backtracking reduce the search space in solving computational problems, and why is it not considered an optimization technique?</t>
  </si>
  <si>
    <t>Backtracking prunes branches of the search tree early when partial candidates are determined invalid, thus avoiding exhaustive exploration of all possibilities. It systematically explores potential solutions in a depth-first manner but does not guarantee finding the optimal solution faster, hence not qualifying as an optimization method but as a search space reduction technique.</t>
  </si>
  <si>
    <t>Backtracking prunes branches that violate constraints, reducing the search space by eliminating infeasible paths early. It is not an optimization technique because it systematically explores all remaining possibilities without guaranteeing an optimal solution, only a feasible one.</t>
  </si>
  <si>
    <t>An attacker knows H(S || M1) and the length of S || M1. To compute H(S || M1 || pad || M2) without knowing S, the attacker initializes the hash function state with:
A) The standard IV of the hash algorithm.
B) The output of H(S || M1).
C) The first block of M1.
D) The XOR sum of S and M1.</t>
  </si>
  <si>
    <t>The correct answer is B because in a Merkle-Damgård hash, the state after processing S||M1 is exactly H(S||M1), which the attacker can use as the initial state to continue hashing M2 with the proper padding.</t>
  </si>
  <si>
    <t>The eigenvectors of A*A^T and A^T*A are the same for any matrix A.</t>
  </si>
  <si>
    <t>They share eigenvalues but not eigenvectors unless A is symmetric.</t>
  </si>
  <si>
    <t>A common target for Server-Side Request Forgery (SSRF) attacks in cloud environments is the Instance Metadata Service, typically accessible at the IPv4 link-local address ______.</t>
  </si>
  <si>
    <t>169.254.169.254</t>
  </si>
  <si>
    <t>The Instance Metadata Service in cloud environments uses the IPv4 link-local address 169.254.169.254, which is a well-known, non-routable address within the local network, making it a prime target for SSRF attacks that attempt to access sensitive cloud instance data.</t>
  </si>
  <si>
    <t>Which of the following statements distinguish View Serializability from Conflict Serializability? (Select all that apply.)
A) Every Conflict Serializable schedule is also View Serializable.
B) Every View Serializable schedule is also Conflict Serializable.
C) View Serializability allows for "Blind Writes" (writing without reading) which Conflict Serializability might reject as a conflict cycle.
D) Testing for View Serializability is NP-Complete, whereas Conflict Serializability can be tested in polynomial time.</t>
  </si>
  <si>
    <t>Conflict serializability is a stricter subset of view serializability. View serializability specifically accommodates blind writes, which resolve certain cycles that conflict serializability cannot. Computationally, testing conflict serializability uses polynomial-time precedence graphs, while view serializability testing is NP-complete.</t>
  </si>
  <si>
    <t>In Relational Algebra, the Division operator (R ÷ S) is used to answer queries of the form "Find x such that x is associated with ALL y in S." If relation R(A, B) contains tuples {(1, a), (1, b), (2, a), (3, b)} and relation S(B) contains {(a), (b)}, what is the result of R ÷ S?
A) {(1), (2), (3)}
B) {(1)}
C) {(1), (2)}
D) Empty Set</t>
  </si>
  <si>
    <t>The division operator selects values of A from R that are paired with every B in S. Only A=1 appears with both B=a and B=b in R, satisfying "ALL y in S." Other A values lack at least one pairing, so they are excluded.</t>
  </si>
  <si>
    <t>Explain the difference between apriori analysis and posteriori testing in the context of algorithm analysis.</t>
  </si>
  <si>
    <t>Apriori analysis is the theoretical evaluation of an algorithm's efficiency before implementation, typically using mathematical tools to determine time and space complexity. Posteriori testing, on the other hand, involves running the implemented algorithm on actual data and measuring its performance (e.g., execution time, memory usage) empirically.</t>
  </si>
  <si>
    <t>Apriori analysis uses theoretical models to predict performance before execution, while posteriori testing measures actual runtime on specific hardware. A satisfactory answer must define both, contrast their theoretical vs. empirical nature, and state their respective purposes in evaluation.</t>
  </si>
  <si>
    <t>Regarding multiprocessor arbitration and mutual exclusion, which of the following statements hold? (Select all that apply.)
A) Mutual exclusion prevents simultaneous access to shared memory.
B) Semaphore variables indicate the status of shared resources.
C) Hardware locks are unnecessary in multiprocessor systems.
D) Test-and-set instructions help implement mutual exclusion.</t>
  </si>
  <si>
    <t>A and D are correct because mutual exclusion ensures exclusive access, often implemented via test-and-set. B is correct as semaphores signal resource availability. C is incorrect; hardware locks like test-and-set are essential for atomic operations in multiprocessors.</t>
  </si>
  <si>
    <t>Discuss the advantages and disadvantages of circularly linked lists compared to singly linked lists.</t>
  </si>
  <si>
    <t>Circularly linked lists overcome the limitation of singly linked lists by connecting the last node back to the first, enabling circular traversal without needing a NULL terminator. This structure simplifies operations like concatenation and cyclic iteration. However, circular lists risk infinite loops if termination conditions are not carefully implemented and require careful management of head nodes to avoid ambiguity. Singly linked lists are simpler but less flexible in traversal and certain operations</t>
  </si>
  <si>
    <t>Circularly linked lists allow efficient traversal from any node back to the start and are ideal for round-robin scheduling, but they risk infinite loops if not carefully managed, unlike singly linked lists which have a clear end.</t>
  </si>
  <si>
    <t>The _______ approach to algorithm design involves solving problems by exploring all possible solutions, often leading to exponential time complexity.</t>
  </si>
  <si>
    <t>brute force</t>
  </si>
  <si>
    <t>Brute force algorithms exhaustively evaluate every possible candidate solution to guarantee finding a result. Because the search space grows rapidly without optimization or pruning, this approach typically incurs exponential time complexity, making it impractical for large-scale computational problems.</t>
  </si>
  <si>
    <t>A self-referential structure is a structure that contains a pointer to another data type.</t>
  </si>
  <si>
    <t>A self-referential structure contains a pointer to its own type, not to another data type.</t>
  </si>
  <si>
    <t>In ARIES, the pageLSN stored on a data page is used to determine if the updates described in a log record have already been applied to that page, making operations idempotent.</t>
  </si>
  <si>
    <t>The pageLSN tracks the latest applied log record, preventing duplicate updates during recovery.</t>
  </si>
  <si>
    <t>In a multi-dimensional array, the elements are always stored in column-major order in C.</t>
  </si>
  <si>
    <t>C uses row-major order, not column-major, for storing multi-dimensional arrays.</t>
  </si>
  <si>
    <t>Consider a standard 5-stage pipeline (Fetch, Decode, Execute, Memory, Writeback) that stalls for data hazards but DOES NOT implement data forwarding (bypassing). Register writes occur in the Writeback stage, and register reads occur in the Decode stage. Consider this assembly sequence: ```addq %rax, %rbx
movq %rbx, %rcx
addq %rcx, %rdx```. How many total clock cycles are required to complete this sequence (from the Fetch of instruction 1 to the Writeback of instruction 3)? Assume 1 cycle per stage.
A) 7
B) 9
C) 13
D) 11</t>
  </si>
  <si>
    <t>Without bypassing, Decode must wait until the producer’s Writeback. Instruction 1 writes %rbx in cycle 5, forcing two bubbles before instruction 2 decodes; instruction 2 writes %rcx in cycle 8, forcing two more bubbles before instruction 3 decodes. Seven base pipeline cycles plus four bubbles give eleven cycles.</t>
  </si>
  <si>
    <t>Which of the following statements is true about Xavier Initialization?
A) It is only used in fully connected neural networks.
B) It applies a scaling factor to the mean of the random weights.
C) It is commonly used in logistic regression.
D) The assumptions made are only valid at the beginning of training.</t>
  </si>
  <si>
    <t>Xavier initialization assumes linear activation and zero-centered inputs, which hold only at initialization before training alters activations. It is not exclusive to fully connected networks, scales variance not mean, and is not for logistic regression.</t>
  </si>
  <si>
    <t>If f(n) = 3n^2 + 5n + 2 and g(*n*) = n^2, which of the following statements is true?
A) f(n) = O(g(n)) and f(n) = Ω(g(n))
B) f(n) = o(g(n))
C) f(n) = Θ(n)
D) f(n) = Ω(n^3)</t>
  </si>
  <si>
    <t>Since \( f(n) \) and \( g(n) \) are both quadratic, \( f(n) = O(n^2) \) and \( f(n) = \Omega(n^2) \), making \( f(n) = \Theta(n^2) \). This matches option A. The others are incorrect because \( f(n) \) is not sub-quadratic, linear, or cubic.</t>
  </si>
  <si>
    <t>Describe the role of recursion in algorithm design and how recurrence relations are used to analyze recursive algorithms.</t>
  </si>
  <si>
    <t>Recursion allows algorithms to solve problems by breaking them down into smaller subproblems, often simplifying the design and implementation. To analyze recursive algorithms, recurrence relations express the total running time as a function of the running time on smaller inputs. Solving these relations yields closed-form expressions or asymptotic bounds that describe the algorithm’s time complexity. This approach is essential for understanding the efficiency of divide-and-conquer and other recursive strategies</t>
  </si>
  <si>
    <t>Recursion enables solving problems by breaking them into self-similar subproblems. Recurrence relations model the algorithm's runtime, allowing analysis via techniques like the Master Theorem to determine asymptotic complexity (e.g., O(n log n) for divide-and-conquer).</t>
  </si>
  <si>
    <t>Explain the functional and  behavioral model for software
requirements process.</t>
  </si>
  <si>
    <t>Functional requirement specifies something that the application or system should do.
Often, this is defined as a behavior of the system that takes input and provides output. For example, a traveler fills out a form in an airline's mobile application with his/her name and passport details (input), submits the form, and the application generates a boarding pass with the traveler's details (output).
Non-functional requirements, sometimes also called quality requirements, describe how the system should be, as opposed to what it should do. Non-functional requirements of a system include performance (e.g., response time), maintainability and scalability, among
many others. In the airline application example, the requirement that the application must display the boarding pass after a maximum of five seconds from the time the traveler presses the 'submit' button would be a non-functional requirement.</t>
  </si>
  <si>
    <t>A satisfactory answer must define both models: functional (what the system does, via use cases) and behavioral (how it responds to events, via state diagrams), and contrast their focus on actions versus dynamic state changes.</t>
  </si>
  <si>
    <t>The construction of HMAC involves two passes of the hash function. The outer pass is defined as $H(K \oplus \text{opad} \ || \ H(K \oplus \text{\_\_\_\_} \ || \ m))$.</t>
  </si>
  <si>
    <t>ipad</t>
  </si>
  <si>
    <t>The inner pass uses ipad to pad the key, ensuring the hash input differs from the outer pass (which uses opad), preventing length-extension attacks and providing cryptographic separation between the two hashing stages.</t>
  </si>
  <si>
    <t>The concept of Abstract Data Types (ADTs) focuses on how data is stored rather than what operations are supported.</t>
  </si>
  <si>
    <t>ADTs define operations and behavior, not implementation details like storage.</t>
  </si>
  <si>
    <t>In the training of deep neural networks, the computation of gradients for optimization is efficiently performed via ____________, which applies the chain rule in a computational graph.</t>
  </si>
  <si>
    <t>backpropagation</t>
  </si>
  <si>
    <t>Backpropagation efficiently computes gradients by applying the chain rule in reverse through the computational graph, enabling the optimization of deep neural networks via gradient-based methods.</t>
  </si>
  <si>
    <t>The L2 penalty in a ridge regression is equivalent to a Laplace prior on the weights.</t>
  </si>
  <si>
    <t>Ridge regression uses a Gaussian prior, not Laplace.</t>
  </si>
  <si>
    <t>A given processor has eight interrupt lines (numbered 0-7), and a policy that low. numbered interrupts have priority over higher-numbered ones. The processor starts with no interrupts pending, and the following sequence of interrupts occurs: 4, 7, 1, 3, 0, 5, 6, 4, 2, 1. Assume that handling any interrupt takes enough time that two more interrupts arrive while the first interrupt is being handled, until all of the interrupts have arrived, and that interrupts cannot interrupt each other. (Many processors allow high-priority interrupts to interrupt low-priority interrupt handlers, but assuming that interrupts can't interrupt each other simplifies the problem of thinking about priorities.) What order are the interrupts handled in?</t>
  </si>
  <si>
    <t>A good way to approach this sort of problem is to create a list of pending events (such as interrupts). Whenever the processor is free, it handles the highest-priority pending event, removing it from the list. Thus, interrupt 4 is handled first, because it arrives first.
When the processor is done with interrupt 4, interrupts 7 and 1 are pending, so interrupt i gets handled. Repeating this process gives the following order of interrupt handling: 4, 1, 0, 3, 2, 1, 4, 5, 6, 7.</t>
  </si>
  <si>
    <t>The interrupts are handled in order of arrival within each priority level, with lower numbers taking precedence, resulting in the sequence: 0, 1, 1, 2, 3, 4, 4, 5, 6, 7.</t>
  </si>
  <si>
    <t>LSM Trees (Log-Structured Merge Trees) typically use a probabilistic data structure called a ______ in memory to quickly determine if a key definitely does not exist in an on-disk SSTable, thereby saving unnecessary disk I/O.</t>
  </si>
  <si>
    <t>Bloom Filter</t>
  </si>
  <si>
    <t>A Bloom filter is used because it can efficiently test set membership with no false negatives, allowing the LSM tree to skip disk reads for keys that are definitely absent, thus reducing I/O operations.</t>
  </si>
  <si>
    <t>In a hash table using chaining, the average cost of searching for an element is O(______), where α is load factor.</t>
  </si>
  <si>
    <t>1 + α</t>
  </si>
  <si>
    <t>In chaining, search cost comprises constant-time hash computation plus average traversal of half the chain length, giving O(1+α) for unsuccessful searches and similar bound for successful searches.</t>
  </si>
  <si>
    <t>Explain that, if two schedules are conflict equivalent, then they are view equivalent.</t>
  </si>
  <si>
    <t>If two schedules over the same set of actions of the transactions are conflict equivalent, they must order every pair of conflicting actions of two committed transactions in the same way. Let’s assume that two schedules are conflict equivalent, but they are not view equivalent, then one of the three conditions held under view equivalency must be violated. But as we can see if every pair of conflicting actions is ordered in the same way, this cannot happen. Thus we can conclude that if two schedules are conflict equivalent, they are also view equivalent.</t>
  </si>
  <si>
    <t>Two schedules that are conflict equivalent have the same order of conflicting operations, which directly ensures they produce the same final database state and read-from relationships, satisfying the stricter conditions for view equivalence.</t>
  </si>
  <si>
    <t>To resist GPU-based brute-force attacks, modern password hashing algorithms like Argon2 and bcrypt utilize "Memory ______," requiring significant RAM usage to compute a single hash.</t>
  </si>
  <si>
    <t>Hardness</t>
  </si>
  <si>
    <t>Memory Hardness forces the attacker to use RAM, which is expensive on GPUs/ASICs compared to pure computation cycles, leveling the playing field.</t>
  </si>
  <si>
    <t>In IPSec Tunnel Mode, what headers are present in the final packet? (Select all that apply.)
A) New outer IP Header.
B) ESP/AH Header.
C) Original IP Header (Encrypted).
D) Original IP Payload (Encrypted).</t>
  </si>
  <si>
    <t>In tunnel mode, the entire original IP packet, including its header and payload, is encapsulated and encrypted within a new IP packet. An ESP or AH header is inserted between the new outer header and the encrypted original packet.</t>
  </si>
  <si>
    <t>Explain the importance of the head node in circularly linked lists and how it addresses potential issues during list processing.</t>
  </si>
  <si>
    <t>The head node in a circularly linked list acts as a sentinel that marks the start of the list, helping to avoid infinite loops during traversal by providing a clear termination condition. It also simplifies operations like insertion, deletion, and checking for emptiness since the list is never truly empty—the head node always exists, even if the list contains no data nodes. This improves the robustness and ease of managing circular lists</t>
  </si>
  <si>
    <t>The head node provides a fixed entry point, preventing infinite loops during traversal by marking the list's start and end, which ensures efficient insertion and deletion operations without needing special checks for empty lists.</t>
  </si>
  <si>
    <t>Explain precisely why reusing a 96-bit Initialization Vector (IV) in AES-GCM mode with the same key is considered a catastrophic failure compared to IV reuse in standard AES-CTR mode. What specific component of the GCM construction allows an attacker to break the system's integrity, and what key material can be recovered?</t>
  </si>
  <si>
    <t>While AES-CTR IV reuse compromises confidentiality (allowing XOR-based plaintext recovery), AES-GCM IV reuse destroys both confidentiality and integrity. GCM uses a polynomial hash (GHASH) for authentication. If the IV is reused, the keystream is identical, allowing an attacker to derive the authentication key (H). Once H is recovered, the attacker can forge valid authentication tags for any message, completely bypassing the integrity protection of the scheme.</t>
  </si>
  <si>
    <t>Reusing a 96-bit IV in AES-GCM allows an attacker to recover the authentication key \( H \) by XORing two ciphertexts, breaking integrity and enabling forgery. In CTR, reuse only compromises confidentiality by revealing plaintext differences.</t>
  </si>
  <si>
    <t>The set of all rectangles in the 2D plane (which includes non axis-aligned rectangles) can shatter a set of 5 points.</t>
  </si>
  <si>
    <t>Non-axis-aligned rectangles have a VC dimension of seven, allowing them to shatter any set of five points in general position.</t>
  </si>
  <si>
    <t>Snapshot Isolation (SI) is a popular isolation level that guarantees a consistent view of the database, but it is susceptible to a specific anomaly called ______, where two concurrent transactions read overlapping data sets but update disjoint data sets, violating a constraint.</t>
  </si>
  <si>
    <t>Write Skew</t>
  </si>
  <si>
    <t>Snapshot Isolation prevents non-repeatable reads but allows write skew, where concurrent transactions read overlapping data and update disjoint subsets, inadvertently violating a global constraint that would hold if the transactions ran sequentially.</t>
  </si>
  <si>
    <t>Graph-based semi-supervised learning uses the graph Laplacian to enforce smoothness of the label function over the graph, encouraging nodes connected by edges with high weights to share similar labels.</t>
  </si>
  <si>
    <t>The graph Laplacian regularization penalizes rapid label changes across strongly connected nodes, enforcing smoothness.</t>
  </si>
  <si>
    <t>If p is a prime, what is the value of the Euler totient function phi(n) if n = p^2?
A) (p-1)^2
B) p(p-1)
C) p^2 - 1
D) p-1</t>
  </si>
  <si>
    <t>For a prime \( p \), \( \phi(p^2) = p^2 - p = p(p-1) \), since only the multiples of \( p \) are not coprime to \( p^2 \). The other options incorrectly count the non-coprime integers.</t>
  </si>
  <si>
    <t>LCG parameters: m=9, a=2, c=1. X0 = 1. Calculate X2.
A) 3
B) 7
C) 0
D) 4</t>
  </si>
  <si>
    <t>The linear congruential generator follows $X_{n+1} = (aX_n + c) \pmod{m}$. Applying this, $X_1 = (2 \times 1 + 1) \pmod{9} = 3$ and $X_2 = (2 \times 3 + 1) \pmod{9} = 7$. Choice A is just the first iteration, while others represent arithmetic errors.</t>
  </si>
  <si>
    <t>The operation of finding the height difference between the left and right subtrees of a node in an AVL tree is called the __________, which is used to determine whether the tree remains balanced after insertions or deletions.</t>
  </si>
  <si>
    <t>balance factor</t>
  </si>
  <si>
    <t>The **balance factor** is computed as the height of the left subtree minus the height of the right subtree; a magnitude greater than 1 indicates an imbalance, triggering rotations to restore the AVL property.</t>
  </si>
  <si>
    <t>Explain why it is important to differentiate between the peak bandwidth of a memory system and the actual bandwidth achieved during program execution?</t>
  </si>
  <si>
    <t>The peak bandwidth figure for a memory system assumes that memory operations are perfectly distributed for the memory system, avoiding conflicts for banks and the memory bus.
It also assumes that there are always memory references waiting for the memory system. In practice, there are times during most programs when the memory system is idle waiting for the processor to make memory requests, and conflicts do occur for the memory bus or memory banks. Thus, the actual bandwidth achieved by the memory system will typically be significantly less than the peak bandwidth.</t>
  </si>
  <si>
    <t>Differentiating is crucial because peak bandwidth is a theoretical hardware limit, while actual bandwidth depends on program access patterns and system contention, revealing real performance bottlenecks and guiding optimization efforts.</t>
  </si>
  <si>
    <t>During the fetch cycle, the instruction is read from memory and simultaneously placed into the instruction register IR and the program counter PC.</t>
  </si>
  <si>
    <t>The instruction is placed into IR, but PC is updated to the next address, not loaded with the instruction itself.</t>
  </si>
  <si>
    <t>Computer organisation describes the physical design of the computer system.</t>
  </si>
  <si>
    <t>Computer organization refers to the operational attributes and hardware-software interface, not just physical design.</t>
  </si>
  <si>
    <t>In query processing, a join execution tree where the inner relation of every join is a base table (not an intermediate result) is known as a ______ tree.</t>
  </si>
  <si>
    <t>Left-Deep</t>
  </si>
  <si>
    <t>A left-deep tree ensures each join uses a base table as the inner relation, optimizing for pipelining and reducing intermediate storage, which is crucial for efficient query execution plans in database systems.</t>
  </si>
  <si>
    <t>Explain how recursion is implemented using stacks.</t>
  </si>
  <si>
    <t>Recursive function calls are managed by the system stack, which stores return addresses and local variables for each call. Each time a function calls itself, a new stack frame is pushed; when the function returns, the frame is popped. This LIFO behavior preserves the correct sequence of executions and enables backtracking through previous calls</t>
  </si>
  <si>
    <t>Recursion uses the call stack to store each function call's local variables and return address, enabling the system to backtrack after reaching the base case and unwind to complete the computation.</t>
  </si>
  <si>
    <t>You want to build a model to predict whether a startup will raise funding (label = 1) or not (label = 0) in its first year. You have access to a dataset of examples with 300 input features, including the number of founders, the number of employees, the variance in the age of the employees, etc. As a baseline model, you decide to train a logistic regression that outputs a probability \^{y}{(i)} ∈ [0,1] that a startup described by a vector of features x^{(i)} raises funding in its first year, where the predicted label of an input is chosen to be 1 when \^{y}^{(i)} ≥ 0.5 and 0 otherwise.  If the shape of x^{(i)} is (n_x,1), n_x should be ______ (enter a value).</t>
  </si>
  <si>
    <t>The input vector \(x^{(i)}\) must include all 300 features, so its dimension \(n_x\) is 300, matching the number of features used for each data point in the logistic regression model.</t>
  </si>
  <si>
    <t>The innermost track on a hard disk platter has a radius of 0.25 in (i.e., is located at
0.25 in from the center of the spindle). The outermost track has a radius of 1.75 in.
What is the ratio of the capacity of the disk if a variable number of tracks per sector is used compared to the capacity if a fixed number of tracks/ sector is used? Assume that each track has as many sectors as it can hold, neglect issues related to the fact that the number of sectors on a track has to be an integer, and assume that there are many tracks on the disk. (Yes, this can be done without knowing the number of tracks or number of sectors on any one track.)</t>
  </si>
  <si>
    <t>In both schemes, the number of tracks on the platter is the same, so the ratio of capacities will be the same as the ratio of the number of sectors in an average track. In the fixed number of sectors/track scheme, the number of sectors on each track is determined by the number that can be fit on the innermost track, and all tracks have the same capacity. Using a variable number of sectors per track, the amount of space a sector takes up on a track will be the same for all tracks, so the ratio of the capacity of the average track to that of the innermost track is equal to the ratio of the length of the average track to the length of the innermost track.
Since the capacity of each track in the fixed number of sectors scheme is the same as the capacity of the innermost track, this ratio will be the ratio of the total capacities of the two schemes. Circumference is linear with radius, so the average-length track will be the one halfway between the innermost and outermost tracks. The innermost track has a radius of 0.25 in, and the outermost has a ratio of 1.75 in, for a difference of 1.5 in. Half of that is 0.75 in, which when added to the radius of the innermost track gives a radius of 1.0 in for the average track.
The ratio of the circumferences of two tracks is the same as the ratio of their radii, so the average track will have 4 times the capacity of the innermost track, and the variable-number-of-sectors scheme will give 4 times as much capacity on the disk as the fixed-number-of-sectors scheme.</t>
  </si>
  <si>
    <t>The ratio is the average track length to the outermost track length, which equals the average radius to the outermost radius. For radii from 0.25 in to 1.75 in, the average radius is 1 in, giving a capacity ratio of \(1 / 1.75 = 4/7\).</t>
  </si>
  <si>
    <t>A hash function that maps keys k to indices by computing k mod M is called the ______ method.</t>
  </si>
  <si>
    <t>division</t>
  </si>
  <si>
    <t>The division method computes the remainder of the key divided by the table size \( M \), ensuring the hash index falls within the range \( 0 \) to \( M-1 \).</t>
  </si>
  <si>
    <t>Explain one diﬀerence between L1 and L2 regularization.</t>
  </si>
  <si>
    <t>L1 leads to weight sparsity, while L2 leads to smaller weights generally but not necessarily with as many weights that are exactly 0. L1 adds a penalty term to the cost function that is proportional to the sum of the absolute values of the weights, while L2 adds one that is proportional to the sum of the squares of the weights.</t>
  </si>
  <si>
    <t>L1 regularization can shrink coefficients to exactly zero, performing feature selection, while L2 regularization only shrinks coefficients toward zero without eliminating them entirely, preserving all features.</t>
  </si>
  <si>
    <t>Describe how a typical lock manager is implemented. Why must lock and unlock be atomic operations? What is the diﬀerence between a lock and a latch? What are convoys and how should a lock manager handle them?</t>
  </si>
  <si>
    <t>A typical lock manager is implemented with a hash table, also called lock table, with the data object identifier as the key. A lock table entry contains the following information: the number of transactions currently holding a lock on the object, the nature of the lock, and a pointer to a queue of lock requests. Lock and unlock must be atomic operations because otherwise it may be possible for two transactions to obtain an exclusive lock on the same object, thereby destroying the principles of 2PL. A lock is held over a long duration, and a latch is released immediately after the physical read or write operation is completed. Convoy is a queue of waiting transactions. It occurs when a transaction holding a heavily used lock is suspended by the operating system, and every other transactions that needs this lock is queued.</t>
  </si>
  <si>
    <t>A lock manager uses a hash table for lock records, ensuring atomic lock/unlock via hardware instructions to prevent race conditions. Locks protect logical data; latches protect physical structures. Convoys are queues of waiting transactions, managed via fair scheduling to prevent starvation.</t>
  </si>
  <si>
    <t>The AdaBoost algorithm can be viewed as minimizing the:
A) exponential loss
B) logistic loss
C) hinge loss
D) squared loss</t>
  </si>
  <si>
    <t>AdaBoost minimizes exponential loss, which weights misclassified points more heavily each round. Logistic, hinge, and squared losses are used by other methods like logistic regression, SVMs, and linear regression, respectively.</t>
  </si>
  <si>
    <t>The primary reason why arrays exhibit inefficient insertion and deletion compared to linked lists is due to the need for _______ elements to accommodate the operation.</t>
  </si>
  <si>
    <t>shifting (or moving)</t>
  </si>
  <si>
    <t>Arrays store elements in contiguous memory locations, so inserting or deleting an element requires shifting all subsequent elements to maintain order, resulting in O(n) complexity, whereas linked lists modify pointers in O(1) time.</t>
  </si>
  <si>
    <t>What is the purpose of using 1x1 convolution?</t>
  </si>
  <si>
    <t xml:space="preserve">1x1 convolution reduces the size of feature maps before sending them to layers with more expensive filters (3x3, 5x5). Using 1x1 convolution, we can stack more layers and allocate them on the training device. </t>
  </si>
  <si>
    <t>1x1 convolutions reduce dimensionality and increase non-linearity by applying pointwise filters across channels, enabling efficient feature compression and expansion without altering spatial dimensions.</t>
  </si>
  <si>
    <t>The process of splitting a data set into training and testing subsets, where the test set is used to evaluate the model's ability to generalize, is called the ____________ split.</t>
  </si>
  <si>
    <t>train-test</t>
  </si>
  <si>
    <t>This process is called the train-test split, which partitions data into separate subsets for model training and evaluation, ensuring that performance on unseen test data reflects true generalization ability.</t>
  </si>
  <si>
    <t>Explain the concept of multithreading in modern CPU architectures, highlighting its relationship with multiprocessing and detailing its primary advantages and disadvantages.</t>
  </si>
  <si>
    <t>Multithreading is the ability of a central processing unit (CPU) or a single core in a
multi-core processor to execute multiple processes or threads concurrently, appropriately
supported by the operating system. This approach differs from multiprocessing, as with
multithreading the processes and threads share the resources of a single or multiple cores: the
computing units, the CPU caches, and the translation lookaside buffer (TLB).
Where multiprocessing systems include multiple complete processing units, multithreading
aims to increase utilization of a single core by using thread-level as well as instruction-level
parallelism. As the two techniques are complementary, they are sometimes combined in
systems with multiple multithreading CPUs and in CPUs with multiple multithreading cores.
Advantages: If a thread gets a lot of cache misses, the other threads can continue taking advantage of the unused computing resources, which may lead to faster overall execution as these resources would have been idle if only a single thread were executed. Also, if a thread cannot use all the computing resources of the CPU (because instructions depend on each other's
result), running another thread may prevent those resources from becoming idle. If several threads work on the same set of data, they can actually share their cache, leading to better cache usage or synchronization on its values. Disadvantages: Multiple threads can interfere with each other when sharing hardware resources such as caches or translation lookaside buffers (TLBs). As a result, execution times of a single thread are not improved but can be degraded, even when only one thread is executing, due to lower frequencies or additional pipeline stages that are necessary to accommodate thread-switching hardware.</t>
  </si>
  <si>
    <t>A satisfactory answer must define multithreading, contrast it with multiprocessing, explain its resource-sharing nature, and discuss at least one advantage and disadvantage, such as improved resource utilization versus potential interference and performance overhead.</t>
  </si>
  <si>
    <t>Which is not a step of Requirement Engineering?
A) Requirements elicitation
B) Requirements analysis
C) Requirements design
D) Requirements documentation</t>
  </si>
  <si>
    <t>Requirement engineering focuses on defining what the system should do through elicitation, analysis, specification, and validation. Requirements design is not a recognized step because design is a separate phase focused on how to implement the requirements technically.</t>
  </si>
  <si>
    <t>Suppose you have a unclustered B+tree index on the Emp table with composite search key ⟨age,dno⟩. Consider the following query `SELECT * FROM Emp E WHERE E.age=30`, it would be more eﬃcient to answer this query using the index than simply doing a file scan.</t>
  </si>
  <si>
    <t>The index prefix allows efficient range filtering, significantly reducing the number of data pages accessed compared to full scans.</t>
  </si>
  <si>
    <t>Which of the following are common applications of stacks and queues? (Select all that apply.)
A) Balancing parentheses in expressions
B) Job scheduling in time-sharing systems
C) Polynomial addition
D) Graph traversal algorithms</t>
  </si>
  <si>
    <t>Stacks are commonly used for balancing parentheses, queues for job scheduling in time-sharing systems, and linked-list-based stacks/queues for polynomial addition by processing terms sequentially. Graph traversal, though it uses these structures, is primarily categorized as a graph algorithm application rather than a direct stack/queue application.</t>
  </si>
  <si>
    <t>Cook’s theorem states that:
A) All NP problems can be solved in polynomial time
B) The satisfiability problem is NP-complete
C) P = NP
D) Only deterministic algorithms can solve NP problems</t>
  </si>
  <si>
    <t>Cook’s theorem proves SAT is NP-complete, establishing the first NP-complete problem. It does not claim all NP problems are polynomial-time solvable (A), prove P=NP (C), or restrict NP solutions to deterministic algorithms (D).</t>
  </si>
  <si>
    <t>Which of the following is NOT an advantage of using a circularly linked list over a singly linked list?
A) Eliminates the need to check for end of list during traversal
B) Allows traversal to continue from any node without special conditions
C) Facilitates easy insertion/deletion at both head and tail without extra pointers
D) Requires less memory per node than singly linked list</t>
  </si>
  <si>
    <t>A circularly linked list does not reduce memory per node; both require the same storage for data and a pointer. The other options correctly describe circular advantages like simplified traversal and tail operations.</t>
  </si>
  <si>
    <t>Setting the HttpOnly flag on a session cookie effectively prevents a Stored Cross-Site Scripting (XSS) vulnerability from executing malicious JavaScript in the victim's browser.</t>
  </si>
  <si>
    <t>The flag prevents cookie theft via XSS, but does not stop the malicious script itself from executing.</t>
  </si>
  <si>
    <t>In a supervised learning problem, the true quantity we really want to minimize is:
A) the training error
B) the test error
C) the generalization error
D) the cross-validation error</t>
  </si>
  <si>
    <t>Generalization error measures expected performance on unseen data, which is the ultimate goal. Training error is only on seen data, test error is an estimate, and cross-validation error is a practical proxy.</t>
  </si>
  <si>
    <t>One disadvantage of Q-learning is that it can only be used when the learner has prior knowledge of how its actions aﬀect its environment.</t>
  </si>
  <si>
    <t>Q-learning learns action effects from experience, requiring no prior knowledge of the environment's dynamics.</t>
  </si>
  <si>
    <t>Regarding the implementation and use of decoders, which of the following are true? (Select all that apply.)
A) Decoders convert n-bit inputs to 2ⁿ unique outputs.
B) Decoders can be constructed by combining smaller decoders with enable inputs.
C) A 3-to-8 decoder can be built from two 2-to-4 decoders with enable inputs.
D) A decoder always has the same number of outputs as inputs.</t>
  </si>
  <si>
    <t>A decoder maps n inputs to exactly 2ⁿ outputs, making A true. They can be hierarchically built using enable inputs, so B is true. A 3-to-8 decoder can indeed use two 2-to-4 decoders with enables, confirming C. D is false because outputs (2ⁿ) differ from inputs (n).</t>
  </si>
  <si>
    <t>The time complexity of linear search on an unordered list is always O(n), regardless of the element's position.</t>
  </si>
  <si>
    <t>Linear search checks each element sequentially until the target is found or the list ends.</t>
  </si>
  <si>
    <t>Alpha and Beta Testing are forms of __________ testing.</t>
  </si>
  <si>
    <t>Acceptance</t>
  </si>
  <si>
    <t>Alpha and Beta Testing are conducted by end-users in real-world environments to validate the software against business requirements, determining if it is ready for deployment, which defines them as forms of Acceptance testing.</t>
  </si>
  <si>
    <t>Which of the following are true about vector and pipeline processing memory organization? (Select all that apply.)
A) Interleaved memory assigns different addresses to different modules.
B) Even and odd addresses can be stored in separate modules for interleaving.
C) Interleaved memory reduces effective memory cycle time.
D) Interleaved memory is incompatible with pipelined CPUs.</t>
  </si>
  <si>
    <t>Interleaved memory assigns consecutive addresses to different modules, allowing even/odd separation, which reduces effective cycle time by enabling parallel access. It is compatible with pipelining, making D false.</t>
  </si>
  <si>
    <t>Suppose the local hit rate of each level cache is 1/2 , and the hit time of n-level cache is 4^n cycles. For example, L2 cache has a hit time of 4^2 = 16 cycles and L3 cache has a hit time of 4^3 = 64 cycles. The access time of DRAM is 1024 cycles. If we want the AMAT of L1 cache to be 124 cycles, ______ level caches is needed.</t>
  </si>
  <si>
    <t>AMAT is calculated recursively as $H_n + (M_n \times \text{Miss Penalty})$. With four levels, the penalty scales down from 1024 to 124 cycles: $L4 = 256 + 0.5(1024) = 768$, $L3 = 64 + 0.5(768) = 448$, $L2 = 16 + 0.5(448) = 240$, and $L1 = 4 + 0.5(240) = 124$.</t>
  </si>
  <si>
    <t>A direct-mapped cache does not need any replacement policy, such as the least-recently used (LRU) or random, to make space.</t>
  </si>
  <si>
    <t>Each block maps to exactly one cache line, so no choice exists when a new block must occupy that line.</t>
  </si>
  <si>
    <t>The JK flip-flop is an improvement over the SR flip-flop because it eliminates the indeterminate state encountered when both inputs are 1.</t>
  </si>
  <si>
    <t>The JK flip-flop toggles when both inputs are 1, resolving the SR's indeterminate state.</t>
  </si>
  <si>
    <t>Which of the following statements about algorithm design approaches are true? (Select all that apply.)
A) Top-down design starts with abstract modules and refines them into detailed sub-modules.
B) Bottom-up design begins with detailed modules and combines them into higher-level modules.
C) Top-down design always prioritizes reusability and information hiding over modularization.
D) Bottom-up design facilitates information hiding by defining module interfaces before implementation.</t>
  </si>
  <si>
    <t>Top-down design decomposes systems into submodules, whereas bottom-up design synthesizes low-level components into larger systems. Unlike top-down approaches, bottom-up design prioritizes information hiding and reusability by establishing robust module interfaces before integrating them into higher-level abstractions.</t>
  </si>
  <si>
    <t>In a complete binary tree, nodes appear as far right as possible on the last level.</t>
  </si>
  <si>
    <t>In a complete binary tree, the last level's nodes are filled from left to right.</t>
  </si>
  <si>
    <t>The "Sponge Construction" (used in SHA-3) is susceptible to Length Extension Attacks in the same way the Merkle-Damgård construction (used in SHA-256) is.</t>
  </si>
  <si>
    <t>The sponge construction uses a different finalization step that prevents length extension.</t>
  </si>
  <si>
    <t>The problem of arranging a set of objects with precedence constraints into a linear order such that all precedence rules are respected is called _______ sorting.</t>
  </si>
  <si>
    <t>topological</t>
  </si>
  <si>
    <t>This problem involves ordering objects based on precedence constraints, which defines a partial order; the only sorting method that can produce a valid linear sequence from such a structure is topological sorting.</t>
  </si>
  <si>
    <t>Suppose you learn a model for binary classification using an algorithm A. After learning this model you observe an additional instance-label pair (x,y), but you suspect that one of the components xi has been corrupted with noise. To check this, you want to infer the probability Pr(x_i | y) using your model. Which of the following algorithms A would work best to find this probability?
A) Naive Bayes
B) Logistic Regression
C) Both A and B have similar performance
D) None of the above</t>
  </si>
  <si>
    <t>Naive Bayes explicitly models the conditional probability \( P(x_i \mid y) \) from the training data, allowing direct inference. Logistic regression models \( P(y \mid x) \) and cannot directly compute \( P(x_i \mid y) \) without additional assumptions.</t>
  </si>
  <si>
    <t>The primary cryptographic weakness in WEP (Wired Equivalent Privacy) was the use of a short, 24-bit Initialization Vector (IV) that was sent in plaintext and frequently reused, leading to key recovery attacks.</t>
  </si>
  <si>
    <t>The short IV space leads to rapid reuse, enabling statistical attacks to recover the secret key.</t>
  </si>
  <si>
    <t>In a "Time-Based" Blind SQL Injection attack, the attacker injects a command like SLEEP(10) or WAITFOR DELAY because the database does not return any data or ______ messages to the web application.</t>
  </si>
  <si>
    <t>error</t>
  </si>
  <si>
    <t>The attacker uses time delays because the database does not return data or **error** messages, making the injection "blind" and forcing reliance on timing differences to infer query results.</t>
  </si>
  <si>
    <t>The status bit V (overflow) in the processor is set to 1 when the exclusive-OR of the last two carries in an addition operation is 0.</t>
  </si>
  <si>
    <t>V is set when the XOR of the last two carries is 1, not 0.</t>
  </si>
  <si>
    <t>What is a common real-world example of a queue?
A) stack of plates
B) line of customers at a checkout
C) library of books
D) collection of files on a computer</t>
  </si>
  <si>
    <t>A queue follows the First-In-First-Out (FIFO) principle, which is exemplified by a line of customers where the first to arrive is the first served. The other options describe collections that do not enforce this strict ordering.</t>
  </si>
  <si>
    <t>Describe the functions of the TWO main units found in the central processing unit.</t>
  </si>
  <si>
    <t>The control unit (CU) directs and coordinates all the activities within the CPU.
It determines the sequence in which instructions are executed. It sends the data
and instructions to the ALU for processing.
The arithmetic and logic unit (ALU) performs all the arithmetic and logic functions
in a computer. Arithmetic functions involve the use of mathematical operators
such as + – / and ×. Logic functions involve comparisons between two values to
determine if they are: equal to, greater than, less than, greater than or equal to,
less than or equal to, not equal to.</t>
  </si>
  <si>
    <t>The CPU's two main units are the control unit, which directs operations by fetching and decoding instructions, and the arithmetic logic unit (ALU), which performs calculations and logical comparisons. A satisfactory answer must name both units and concisely define their distinct primary functions.</t>
  </si>
  <si>
    <t>In the analysis of recursive algorithms, recurrence relations model the time complexity by expressing the total time in terms of smaller input sizes.</t>
  </si>
  <si>
    <t>Recurrence relations define algorithm runtime recursively, relating total time to time on smaller inputs.</t>
  </si>
  <si>
    <t>For some directed graphs, moralization decreases the number of edges present in the graph.</t>
  </si>
  <si>
    <t>Moralization involves dropping edge directions and adding edges between parents sharing a child, making the edge count strictly monotonic.</t>
  </si>
  <si>
    <t>Given a C program running on two computers with the same instruction set architecture (ISA), say, RISC-V, one computer that yields a higher CPI (clock cycles per instruction) is impossible to be faster than the other one.</t>
  </si>
  <si>
    <t>A higher CPI can be offset by a faster clock frequency, allowing the computer with higher CPI to still be faster overall.</t>
  </si>
  <si>
    <t>PCA does nonlinear orthogonal transformation of data into a lower dimensional space.</t>
  </si>
  <si>
    <t>PCA performs a linear orthogonal transformation, not a nonlinear one.</t>
  </si>
  <si>
    <t>In the Two-Phase Commit (2PC) protocol, which failure scenario results in a "Blocking" condition where a participant cannot decide whether to commit or abort without external intervention or recovery of the coordinator?
A) The Coordinator crashes before sending the PREPARE message.
B) A Participant crashes after sending VOTE-COMMIT but before receiving the final decision.
C) The Coordinator crashes after sending the final COMMIT message to some participants but not others.
D) A Participant crashes before sending its vote.</t>
  </si>
  <si>
    <t>After voting commit, a participant is uncertain and must wait for the coordinator's decision. If the coordinator crashes simultaneously, the participant remains blocked as it cannot unilaterally abort or commit without risking global inconsistency.</t>
  </si>
  <si>
    <t>For an array declared as int arr[50], if the base address is 1000 and each integer occupies 2 bytes, the address of arr[35] will be _ _ _ _ _ _.</t>
  </si>
  <si>
    <t>The address is calculated as base address plus index times element size: \(1000 + 35 \times 2 = 1070\). This uses the formula for array element addressing in contiguous memory.</t>
  </si>
  <si>
    <t>Which collision resolution technique in hashing eliminates primary clustering but not secondary clustering?
A) Linear probing
B) Quadratic probing
C) Double hashing
D) Chaining</t>
  </si>
  <si>
    <t>Quadratic probing eliminates primary clustering by using a non-linear offset, ensuring distinct probe sequences for adjacent keys. However, it suffers from secondary clustering because keys hashing to the same initial index still follow identical subsequent probe paths.</t>
  </si>
  <si>
    <t>The Diffie-Hellman key exchange allows two parties to establish a shared secret over an insecure channel. Explain why the basic protocol is vulnerable to Man-in-the-Middle (MitM) attacks and what cryptographic component must be added to fix this.</t>
  </si>
  <si>
    <t>Basic Diffie-Hellman (DH) is anonymous; it establishes a secure channel but does not authenticate the identity of the participants. An attacker (Eve) can intercept Alice's public key $g^a$, send her own $g^e$ to Alice, and do the same with Bob. Alice establishes a key with Eve, thinking it's Bob. Eve decrypts, reads, and re-encrypts traffic. To fix this, the DH public keys must be authenticated, typically by signing them with a long-term private key (Digital Signatures) or using a Trusted Third Party (Certificates).</t>
  </si>
  <si>
    <t>The basic protocol lacks authentication, allowing an attacker to impersonate both parties and establish separate keys. To fix this, digital signatures or certificates must be added to verify the identities of the participants.</t>
  </si>
  <si>
    <t>According to the CAP Theorem and PACELC extension, which of the following system classifications are correct? (Select all that apply.)
A) CP System: In the event of a partition, the system stops accepting writes to ensure consistency (e.g., MongoDB default, HBase).
B) AP System: In the event of a partition, the system accepts writes on all nodes, risking inconsistency (e.g., Cassandra, Dynamo).
C) CA System: A distributed system that guarantees Consistency and Availability in the presence of Network Partitions.
D) The "E" in PACELC stands for "Eventual Consistency".</t>
  </si>
  <si>
    <t>A and B correctly describe CP and AP trade-offs under partitions. C is incorrect because CA is impossible under partitions per CAP. D is incorrect because "E" stands for "Else," not "Eventual Consistency."</t>
  </si>
  <si>
    <t>You are the project manager for a new inventory system. The client has a vague idea of what they want but has no existing manual process to refer to. They are worried about the "all or nothing" risk of the project. Which of the following statements justify choosing a Prototyping model over a traditional Waterfall model for this specific scenario? (Select all that apply.)
A) Waterfall requires freezing requirements before design begins, which is unrealistic here. 
B) Prototyping allows the client to "play" with the system to stabilize requirements. 
C) The Prototype must be built with high quality and robust exception handling to ensure it becomes the final product.
D) Prototyping effectively demonstrates feasibility for novel systems where algorithms are unproven.</t>
  </si>
  <si>
    <t>A and B are correct because vague initial needs require iterative refinement, which prototyping supports. D is correct as prototyping validates feasibility for novel systems. C is incorrect because prototypes are meant for exploration, not production-level quality.</t>
  </si>
  <si>
    <t>Decreasing response time always improves throughput.</t>
  </si>
  <si>
    <t>Faster task completion frees resources sooner, enabling more tasks per unit time, thus improving throughput.</t>
  </si>
  <si>
    <t>Using Parameterized Queries (Prepared Statements) prevents all forms of SQL Injection, including when the user input dictates the ORDER BY column or table name.</t>
  </si>
  <si>
    <t>Prepared statements cannot parameterize identifiers like column or table names.</t>
  </si>
  <si>
    <t>Explain how momentum speeds up learning compared to standard gradient descent.</t>
  </si>
  <si>
    <t>Momentum speeds up learning by cancelling out oscillations in the gradients and ensures that the update is performed in the direction of maximum change. It does this by using exponentially weighted averages of the gradients.</t>
  </si>
  <si>
    <t>Momentum accelerates learning by accumulating past gradients, smoothing oscillations and amplifying consistent directions, which speeds convergence in ravines and reduces sensitivity to noise compared to standard gradient descent's immediate, unweighted updates.</t>
  </si>
  <si>
    <t>Explain back box testing and why it is important with an example.</t>
  </si>
  <si>
    <t>Black Box testing involves testing the application like an external or end-user by validating the outputs received from the application based on certain inputs given to it. The internal technical mechanisms like the programs and the code infrastructure of the application are not considered in this type of testing. The tester has no access to the source code nor is he expected to be knowledgeable of the programming language and code structure behind the application. The application is a "Black Box" to the tester who is aware of only the functionality to be tested, the required inputs and the corresponding expected outputs but nothing about the internal workings. This type of testing requires good knowledge of the business requirements of the application. For example if it is a mobile application then the tester needs to have a good understanding of the internet world and also good analytical skills to see through the requirements to identify problem areas. The tester has to understand the requirements to an extent that he should be able to fill the gap for any missed speciﬁcations either from the business or from the end user. All the information or requirements related to the assignment may not be directly available; the tester should work closely with the stakeholders to get the necessary information.
The ﬁgure below shows a sample software application with about 25 screens, each screen having 4 menus, each menu having 3 options and an average of 15 ﬁelds per screen. If we calculate the number of test cases we would need to execute to completely test this application, it is a mind boggling 450,000 test cases. Even if it takes 1 minute to execute a test case it will take 312.5 days working 24*7 to complete testing the entire set.
The challenge for the tester is mainly two-fold as follows: (1) Reduce the number of test cases to manageable limits, (2) Ensure that the identiﬁed subset of test cases gives sufficient coverage</t>
  </si>
  <si>
    <t>Black box testing evaluates software functionality without internal knowledge, ensuring user requirements are met. It is crucial for validating system behavior from an external perspective, like testing a login feature solely by entering credentials and verifying access.</t>
  </si>
  <si>
    <t>Suppose an eight-stage pipelined processor uses branch prediction and forwarding to resolve hazards. When a branch is fetched during cycle X, the processor identifies the actual target of the branch and whether or not it is taken near the end of cycle X + 3. When running a benchmark program on this processor, 10% of the instructions are branches that require prediction and they are predicted correctly 80% of the time. In the benchmark program, there are no other causes of squashing or stalling. The average cycles per instruction of this processor on the benchmark program is ______ . (Fill in the blank with the answer value only.)</t>
  </si>
  <si>
    <t>The average cycles per instruction is calculated as $1 + (\text{branch frequency} \times \text{misprediction rate} \times \text{penalty})$. With a 3-cycle penalty for the 20% of mispredicted branches among 10% total instructions, the CPI is $1 + (0.10 \times 0.20 \times 3) = 1.06$.</t>
  </si>
  <si>
    <t>Which of the following are true about circular queues? (Select all that apply.)
A) Circular queues eliminate the problem of wasted space found in linear queues.
B) In a circular queue, the condition FRONT = REAR always indicates an empty queue.
C) Circular queues allow wrap-around insertion and deletion of elements.
D) Circular queues never face the queue full condition.</t>
  </si>
  <si>
    <t>Circular queues reuse space via wrap-around, eliminating wasted space from linear queues. However, FRONT = REAR can indicate either empty or full, requiring a separate flag or counter, so they can still be full.</t>
  </si>
  <si>
    <t>Which of the following are true for early stopping during training? (Select all that apply.)
A) It may reduce the necessity to tune the hyperparameter for number of training epochs.
B) It increases model variance.
C) When accuracy reaches a trough on the validation set, we invoke early stopping.
D) It may dramatically speed up training at the cost of learning less optimal parameters.</t>
  </si>
  <si>
    <t>Early stopping monitors validation performance to halt training when it plateaus, reducing the need to preset epochs and often speeding up training, but it may yield suboptimal parameters. It decreases variance by preventing overfitting, and stopping occurs at a peak, not a trough.</t>
  </si>
  <si>
    <t>Explain why the increasing the associativity of a cache generally increases its hit rate?</t>
  </si>
  <si>
    <t>Increasing the associativity of a cache can increase its hit rate by reducing the number of conflict misses misses that occur because more lines compete for a set in the cache than can fit in the set. Increasing the associativity increases the number of lines that can fit in the set and therefore can reduce the number of conflict misses.</t>
  </si>
  <si>
    <t>Increasing associativity reduces conflict misses by allowing more blocks to map to the same set, thereby decreasing the likelihood of useful data being evicted prematurely due to address collisions.</t>
  </si>
  <si>
    <t>In the Karnaugh map method for simplifying Boolean expressions, only adjacent squares horizontally or vertically are considered adjacent, but not diagonally or wrapping around edges.</t>
  </si>
  <si>
    <t>Adjacency includes wrapping around edges, not just horizontal or vertical.</t>
  </si>
  <si>
    <t>FAST stands for ________ .
A) Functional Application Specification Technique
B) Fast Application Specification Technique
C) Facilitated Application Specification Technique
D) None of the above</t>
  </si>
  <si>
    <t>FAST is an acronym for Facilitated Application Specification Technique, which emphasizes collaborative stakeholder workshops to define requirements, making C correct; A and B are incorrect because they misrepresent the core methodology.</t>
  </si>
  <si>
    <t>The transfer of data from one register to another in the basic computer occurs immediately when the control signal is active, without waiting for a clock pulse.</t>
  </si>
  <si>
    <t>Register transfers in synchronous digital systems require a clock edge to ensure reliable data movement.</t>
  </si>
  <si>
    <t>Which of the following statements regarding the decomposition of a relational schema is false?
A) Every relation schema can be decomposed into 3NF while preserving dependencies and achieving the lossless join property.
B) Every relation schema can be decomposed into BCNF while preserving dependencies and achieving the lossless join property.
C) A decomposition is lossless if the intersection of the decomposed attributes is a superkey of at least one of the decomposed relations.
D) BCNF is strictly stronger than 3NF (every BCNF relation is in 3NF).</t>
  </si>
  <si>
    <t>B is false because not every schema can be decomposed into BCNF while preserving all functional dependencies. A is true for 3NF. C correctly defines a lossless join condition. D is true as BCNF is a stricter normal form.</t>
  </si>
  <si>
    <t>Which of the following is true about races?
A) A race occurs when correctness of the program depends on one thread reaching point a before
another thread reaches point b.
B) Exclusive access to all shared resources eliminates race conditions.
C) Race conditions are the same as deadlocks.
D) All race conditions occur inside loops, since that is the only way we can interleave processes.</t>
  </si>
  <si>
    <t>A race condition occurs when program correctness depends on the relative timing or interleaving of concurrent threads, which is precisely defined in option A.</t>
  </si>
  <si>
    <t xml:space="preserve">In an algorithm's time complexity analysis, the _______ case refers to the running time on the input that causes the algorithm to perform the fewest steps.
</t>
  </si>
  <si>
    <t>best</t>
  </si>
  <si>
    <t>In time complexity analysis, the "best" case describes the scenario with the most favorable input, leading to the minimum number of operations and fastest possible running time for the algorithm.</t>
  </si>
  <si>
    <t>In a sparse index, the index table stores the address of every record in the file.</t>
  </si>
  <si>
    <t>A sparse index stores addresses only for some records, typically one per block, not every record.</t>
  </si>
  <si>
    <t>In computer architecture, the set of instructions that enables the user to construct machine language programs to evaluate any computable function is said to be ______ if it includes arithmetic, logical, data movement, program control, and input-output instructions.</t>
  </si>
  <si>
    <t>complete instruction set</t>
  </si>
  <si>
    <t>A computer's instruction set is considered complete if it contains sufficient instructions for arithmetic, logical operations, data movement between registers and memory, program control including branching and status checking, and input-output handling</t>
  </si>
  <si>
    <t>Let $R(A, B)$ and $S(B, C)$ be two relations. Which of the following relational algebra equivalences are valid (often used for query optimization)? (Select all that apply.)
A) $\sigma_{A=5}(R \bowtie S) \equiv (\sigma_{A=5}(R)) \bowtie S$
B) $\pi_A(R \bowtie S) \equiv \pi_A(R) \bowtie \pi_A(S)$
C) $\sigma_{B=5}(R \bowtie S) \equiv (\sigma_{B=5}(R)) \bowtie (\sigma_{B=5}(S))$
D) $(R \bowtie S) \bowtie T \equiv R \bowtie (S \bowtie T)$</t>
  </si>
  <si>
    <t>A is valid because selection on A only involves R, so push to R. C is valid because B is a join attribute, so push to both relations. D is valid because join is associative. B is invalid because projection on A loses attribute B needed for the join.</t>
  </si>
  <si>
    <t>Poly1305 takes a 32-byte key (r, s). The part r is "clamped" to ensure security and efficiency. Which of the following hex values is a valid clamped r?
A) 0xffffffff...
B) 0x0ffffff0...
C) 0x10...
D) 0x...01</t>
  </si>
  <si>
    <t>Poly1305 clamps r by clearing bits to ensure it is a valid element in the underlying finite field. Option B shows the required pattern where specific bits are cleared (e.g., lower 4 bits set to 0), while others either have bits incorrectly set or are too small.</t>
  </si>
  <si>
    <t>What are the key differences between binary search trees and B-trees in terms of node structure and applicability?</t>
  </si>
  <si>
    <t>Binary search trees have nodes with at most two children and are suitable for in-memory storage with potentially unbalanced shapes affecting performance. B-trees are balanced multi-way search trees with nodes containing multiple keys and children, optimized for storage systems like disks, reducing the number of disk accesses and improving search efficiency in large databases.</t>
  </si>
  <si>
    <t>Binary search trees have variable node degrees and are suited for in-memory operations, while B-trees have fixed node degrees optimized for disk storage, making them ideal for databases where minimizing disk I/O is critical.</t>
  </si>
  <si>
    <t>Explain why increasing the line length of a cache sometimes reduces the performance of the system containing the cache, even if the hit rate of the cache increases?</t>
  </si>
  <si>
    <t>Increasing a cache's line length often increases the hit rate by increasing the amount of data brought into the cache on a miss. However, the probability that a given address will be used soon after a memory reference to another address decreases as the distance between the addresses increases. This means that, as the cache line length increases, the chance that the additional data brought into the cache by the larger line length will be used goes down. At some point, the amount of time spent fetching data that is not used into the cache becomes greater than the time saved through increases in the hit rate, and overall performance goes down.</t>
  </si>
  <si>
    <t>Increasing line length can raise miss penalty and conflict misses, offsetting hit rate gains. A satisfactory answer must cover these trade-offs, explaining how longer lines increase transfer time and may displace useful data, reducing overall performance.</t>
  </si>
  <si>
    <t>Suppose you train two binary classifiers, h1 and h2, on the same training data, from two function classes H1 and H2 with VCdim(H1) &lt; VCdim(H2). Suppose h1 and h2 have the same training error. Then the VC-dimension based generalization error bound for h1 is:
A) smaller than that for h2
B) larger than that for h2
C) equal to that for h2
D) We can’t say anything about the relationship between the two</t>
  </si>
  <si>
    <t>The VC-dimension directly influences the bound's tightness: a smaller VC-dimension yields a smaller bound, so h1's bound is smaller than h2's, given equal training error and sample size.</t>
  </si>
  <si>
    <t>On a 64-bit system, which of the following C expressions is equivalent to the C expression (x[2] + 4)[3]? Assume x is declared as int **x.
A) *((*(x + 16)) + 28)
B) *((*(x + 2)) + 7)
C) **(x + 28)
D) *(((*x) + 2) + 7)</t>
  </si>
  <si>
    <t>The expression (x[2] + 4)[3] is equivalent to *((*(x + 2)) + 7) because x[2] is *(x+2), so adding 4 yields *(x+2)+4, and indexing by 3 gives *(*(x+2)+4+3).</t>
  </si>
  <si>
    <t>You are solving a biometric authentication task (modeled as binary classification) that uses fingerprint data to help users log into their devices. You train a classification model for user A until it achieves &gt;95% accuracy on a held-back development set (for same user). However, upon deployment you get complaints the model fails to correctly authenticate user A about half the time (50% misclassification rate). List one factor you think could have contributed to the mismatch in misclassification rates between the dev set and deployment, and how you’d go about fixing this issue.</t>
  </si>
  <si>
    <t>The model does really well on the dev set, but fails upon deployment (can be thought of as test set). This reduces to a distribution discrepancy between the test and dev distributions. There are multiple factors that could contribute to this, but a couple of important (and popular) ones are: Class imbalance in dev set: Model could deterministically predict the same label all the time, yet achieve 95% dev accuracy if 95% of the dev set samples belonged to that label. This could be solved by using a balanced dev set, or using an alternate evaluation metric such as F1 score. Distribution shift between dev and deployment: Key change in biometric attribute being monitored. Eg.- user started wearing mask when logging.</t>
  </si>
  <si>
    <t>A satisfactory answer identifies a factor like data distribution shift and proposes a fix, such as collecting deployment-like data for retraining. It must cover the mismatch cause, reasoning about real-world vs. dev conditions, and a concrete solution step.</t>
  </si>
  <si>
    <t>Consider a machine with a byte addressable main memory of 2^16 bytes. Assume that a direct mapped data cache consisting of 32 lines of 64 bytes each is used in the system. A 50 x 50 two-dimensional array of bytes is stored in the main memory stating from memory location 1100H. Assume that the data cache is initially empty. The complete array is accessed twice. Assume that the contents of the data cache do not change in between the two accesses. Total data cache misses will occur is ______.</t>
  </si>
  <si>
    <t>The 2500-byte array maps to 40 unique 64-byte blocks; the empty cache causes 40 compulsory misses first pass, and only eight earliest and eight latest blocks have been evicted before pass two, adding 16 misses, totalling 56.</t>
  </si>
  <si>
    <t>When doing linear regression with n = 1,000 observations and p = 100,000 features, if one expects around 5 or 10 features to enter the model, the best penalty to use is
A) AIC penalty
B) BIC penalty
C) RIC penalty
D) This problem is hopeless – you couldn’t possibly find a model that reliably beats just using a constant.</t>
  </si>
  <si>
    <t>RIC penalty is designed for high-dimensional settings where \( p \gg n \), as it strongly penalizes many features, making it effective when only a few are truly relevant, unlike AIC or BIC which are less suited here.</t>
  </si>
  <si>
    <t>In SQL, the logic used to handle NULL values, where boolean expressions can evaluate to TRUE, FALSE, or UNKNOWN, is formally known as ______ Logic.</t>
  </si>
  <si>
    <t>Three-Valued</t>
  </si>
  <si>
    <t>SQL utilizes three-valued logic because NULL represents missing or unknown data. Comparisons involving NULL cannot result in a definitive true or false, so the system introduces a third state, UNKNOWN, to maintain logical consistency during query evaluation.</t>
  </si>
  <si>
    <t>A convolutional neural network has 4 consecutive layers as follows: 3x3 conv (stride 2) - 2x2 Pool - 3x3 conv (stride 2) - 2x2 Pool. The support (the set of image pixels which activate) of a neuron in the 4th non-image layer of this network is ______ pixels</t>
  </si>
  <si>
    <t>Starting from a single unit, the 2×2 pool enlarges the receptive field to 2, the subsequent 3×3 stride-2 convolution to 5, the next pool to 10, and the final convolution to 21, yielding 21 × 21 = 441 image pixels.</t>
  </si>
  <si>
    <t>Using a VPN with Split Tunneling enabled introduces which of the following risks? (Select all that apply.)
A) Traffic destined for the internet bypasses the corporate firewall/IDS.
B) The user's home network traffic is encrypted by the VPN gateway.
C) A compromised machine can act as a bridge, allowing attackers from the public internet to pivot into the corporate network.
D) DNS queries for public sites might leak to the ISP.</t>
  </si>
  <si>
    <t>Split tunneling routes only corporate traffic through the VPN, so internet traffic bypasses corporate security (A). This creates a bridge for pivoting if the machine is compromised (C). DNS queries for public sites may also go directly to the ISP, causing leaks (D).</t>
  </si>
  <si>
    <t>Imagine a floating point format with no sign bit, one exponent bit, and one fraction bit. Which of the following is not a number?
A) 00
B) 01
C) 10
D) 11</t>
  </si>
  <si>
    <t>In this format, bit patterns represent: 00 = 0, 01 = subnormal 0.5, 10 = normal 1.0, and 11 = NaN because the exponent is all ones with a non-zero fraction.</t>
  </si>
  <si>
    <t>The "NX bit" (No-Execute) hardware feature prevents buffer overflow attacks by randomizing the memory locations of the stack and heap.</t>
  </si>
  <si>
    <t>The NX bit prevents code execution from data regions, not by randomizing memory addresses.</t>
  </si>
  <si>
    <t>In a Schnorr Signature scheme, a Prover has a secret x and public y = g^x. To prove knowledge of x, they use a commitment t = g^k and a challenge c. Which equation calculates the response s?
A) s = k + cx mod q
B) s = k * c * x mod q
C) s = g^(k+c) mod q
D) s = x + k + c mod q</t>
  </si>
  <si>
    <t>The correct equation is \( s = k + cx \mod q \), which combines the commitment and challenge to prove knowledge of \( x \) without revealing it. The other options incorrectly use multiplication, exponentiation, or addition in ways that break the scheme's security.</t>
  </si>
  <si>
    <t>The ____________ is a common activation function defined as σ(t)=max(0,t), widely used in deep learning due to its simplicity and ability to mitigate the vanishing gradient problem.</t>
  </si>
  <si>
    <t>ReLU</t>
  </si>
  <si>
    <t>The ReLU activation function outputs the input directly if positive, otherwise zero; its piecewise linear nature avoids saturating gradients for positive inputs, which helps prevent vanishing gradients during backpropagation in deep networks.</t>
  </si>
  <si>
    <t>A singly linked list has nodes with a single link field pointing to the ________ node.</t>
  </si>
  <si>
    <t>successor</t>
  </si>
  <si>
    <t>A singly linked list node contains data and one pointer, which stores the address of the next sequential node in the list, called its successor, enabling forward traversal from head to tail.</t>
  </si>
  <si>
    <t>Which of the following statements about Boolean algebra and logic functions are true? (Select all that apply.)
A) The exclusive-OR (XOR) function for three variables outputs 1 when an even number of inputs are 1.
B) A multiplexer always requires fewer gates than a decoder of the same size.
C) The minterm 5 in a four-variable K-map corresponds to the term A'BC'D.
D) Karnaugh maps can simplify Boolean functions by grouping adjacent minterms differing in only one variable.</t>
  </si>
  <si>
    <t>C is true because minterm 5 (binary 0101) corresponds to A'BC'D. D is true as K-maps group adjacent minterms differing by one variable. A is false; XOR for three outputs 1 for an odd number of ones. B is false; gate count depends on implementation.</t>
  </si>
  <si>
    <t>An array can store related information of heterogeneous data types together under a single name.</t>
  </si>
  <si>
    <t>Arrays are homogeneous data structures that require all elements to be of the same data type.</t>
  </si>
  <si>
    <t>Is it always a good strategy to train with large batch size? Why or why not?</t>
  </si>
  <si>
    <t>No. First of all, you could easily run out of memory on your GPU. Second, training with large batch size could lead to high test error.</t>
  </si>
  <si>
    <t>No, because large batches can converge faster but may lead to poor generalization by finding sharp minima, while small batches provide a regularizing effect and often better test performance despite noisier, slower updates.</t>
  </si>
  <si>
    <t>Which of the following is not true about POSIX-style signals?
A) Certain signals cannot be blocked.
B) A process can send a signal to itself.
C) A signal handler executing as the result of a received signal can never be interrupted by another
incoming signal.
D) Signals can only be delivered when returning from system mode.</t>
  </si>
  <si>
    <t>Signal handlers can be interrupted if a different signal with a higher priority arrives or if the signal mask does not explicitly block current signals. While SIGKILL cannot be blocked , nested handler execution remains possible.</t>
  </si>
  <si>
    <t>What are the diﬀerences between JDBC and SQLJ? Why do they both exist?</t>
  </si>
  <si>
    <t>SQLJ provides embedded SQL statements. These SQL statements are static in nature and thus are preprocessed and precompiled. For instance, syntax checking and schema checking are done at compile time. JDBC allows dynamic queries that are checked at runtime. SQLJ is easier to use than JDBC and is often a better option for static queries. For dynamic queries, JDBC must still be used.</t>
  </si>
  <si>
    <t>JDBC is a dynamic, flexible API for runtime SQL execution, while SQLJ embeds static SQL directly into Java for compile-time validation. Both exist to cater to different needs: JDBC for adaptability and SQLJ for performance and safety in stable queries.</t>
  </si>
  <si>
    <t>In a queue, insertion is always done at the rear and deletion at the front.</t>
  </si>
  <si>
    <t>A queue follows the FIFO principle, requiring consistent insertion and deletion points.</t>
  </si>
  <si>
    <t>Which of the following statements about searching algorithms are true? (Select all that apply.)
A) Linear search works efficiently on sorted lists.
B) Binary search requires the list to be sorted.
C) Jump search is suitable for uniformly distributed sorted arrays.
D) Interpolation search works well when data is uniformly distributed.</t>
  </si>
  <si>
    <t>Binary search requires sorted data (B). Jump search is efficient for uniformly distributed sorted arrays (C). Interpolation search also performs best with uniform distribution (D). Linear search (A) does not inherently benefit from sorted lists.</t>
  </si>
  <si>
    <t>Which of the following statements are true regarding adversarial attacks? (Select all that apply.)
A) If you generate an adversarial example to fool a cat classifier A, there’s a chance it will fool another cat classifier B.
B) The Fast Gradient Sign Method is an iterative method that can generate adversarial examples.
C) Using dropout is an eﬀective defense against adversarial attacks.
D) You can create an adversarial attack against a neural network that has been encrypted on a device, where you can access neither its architecture nor its parameters.</t>
  </si>
  <si>
    <t>A is true due to transferability of adversarial examples across models. D is true as black-box attacks require only input-output access. B is false because FGSM is non-iterative. C is false as dropout does not reliably defend against adversarial attacks.</t>
  </si>
  <si>
    <t>When you do principal components analysis on an n∗pobservation matrix and keep k components, you get dimensions as follows: loadings: n∗k, scores: k∗p.</t>
  </si>
  <si>
    <t>The loadings are p×k and scores are n×k, not as stated.</t>
  </si>
  <si>
    <t>Consider the recursive relation: C(n) = 2⋅C(n/2) + 3, with C(2) = 2, and n = 2k. What is the closed-form solution for C(n)?
A) C(n) = 3n − 2
B) C(n) = 5n/2 − 3
C) C(n) = n⋅log(n)
D) C(n) = 2^n</t>
  </si>
  <si>
    <t>Using the substitution method or the Master Theorem case 1, the recurrence expands to a geometric series. Summing the constant terms over $log_{2}n$ levels and applying the base case $C(2)=2$ yields the closed-form expression $C(n) = 2.5n - 3$.</t>
  </si>
  <si>
    <t>Which of the following statements on regularization are true? (Select all that apply.)
A) Using L-2 regularization enforces a Laplacian prior on your network weights.
B) Batch normalization can have an implicit regularizing eﬀect, especially with smaller minibatches.
C) Layernorm’s regularization eﬀect increases with larger batch sizes.
D) Your choice of regularization factor can cause your model to underfit.</t>
  </si>
  <si>
    <t>B is true because batch normalization introduces noise from minibatch statistics, which acts as regularization. D is true because an excessive regularization factor overly penalizes complexity, leading to underfitting. A is false as L2 regularization corresponds to a Gaussian prior, not Laplacian. C is false because layernorm's effect is independent of batch size.</t>
  </si>
  <si>
    <t>The universal approximation property states that certain classes of functions, such as ____________ networks with ReLU activations, can approximate any Lipschitz continuous function on a compact domain arbitrarily well.</t>
  </si>
  <si>
    <t>neural</t>
  </si>
  <si>
    <t>A neural network with ReLU activations can approximate any Lipschitz continuous function on a compact domain arbitrarily well, as established by the universal approximation theorem for deep feedforward networks.</t>
  </si>
  <si>
    <t>DOM-based XSS occurs when the payload is reflected by the server in the HTTP response body.</t>
  </si>
  <si>
    <t>DOM-based XSS occurs entirely client-side, with the payload processed by the browser's DOM, not reflected by the server.</t>
  </si>
  <si>
    <t>Column-oriented databases are particularly efficient at using ______ encoding (compression) for columns with low cardinality and sorted data, where long sequences of identical values can be stored as a simple (value, count) pair.</t>
  </si>
  <si>
    <t>Run-Length</t>
  </si>
  <si>
    <t>Run-Length Encoding (RLE) is ideal here because it compresses sorted, low-cardinality data by replacing consecutive identical values with a single value and a count, significantly reducing storage and improving scan performance in columnar databases.</t>
  </si>
  <si>
    <t>Which of the following is true about a max-heap?
A) Every node is smaller than its children.
B) The root node has the lowest key value in the heap.
C) Every node is greater than or equal to its children.
D) The heap is always a complete binary search tree.</t>
  </si>
  <si>
    <t>A max-heap satisfies the heap property where each node's key is greater than or equal to its children's keys, making C correct. A and B describe a min-heap, and D is incorrect as a heap is a complete binary tree but not necessarily a search tree.</t>
  </si>
  <si>
    <t>Consider a system with 32 bit virtual address and 4KB pages. If the system will also have a 256KB cache with 64 byte blocks, the minimum associativity of the cache needed for it to be a virtually-indexed, physically-tagged cache is ______-way associativity. (That is, one where the cache is based on physical addresses, but the cache lookup and TLB lookup can overlap.).</t>
  </si>
  <si>
    <t>To allow overlapping, the cache index must fit within the page offset (12 bits). For a 256KB cache, the number of sets equals cache size divided by (block size $\times$ associativity). Setting $256KB / (A \times 64) \le 4KB / 64$ yields $A \ge 64$.</t>
  </si>
  <si>
    <t>Which of the following are true advantages or features of linked lists compared to arrays? (Select all that apply.)
A) Linked lists allow dynamic memory allocation and can grow or shrink during runtime.
B) Nodes in a linked list are stored in contiguous memory locations.
C) Insertions and deletions at any position in a linked list can be performed in constant time, given the pointer.
D) Linked lists allow random access to elements like arrays.</t>
  </si>
  <si>
    <t>Linked lists use dynamic allocation, allowing runtime size changes (A). Insertions/deletions with a pointer are O(1) (C). Nodes are non-contiguous (B false), and linked lists lack random access, requiring traversal (D false).</t>
  </si>
  <si>
    <t>Consider a Generative Adversarial Network (GAN) which successfully produces images of apples. Which of the following propositions is false?
A) The generator aims to learn the distribution of apple images.
B) The discriminator can be used to classify images as apple vs. non-apple.
C) After training the GAN, the discriminator loss eventually reaches a constant value.
D) The generator can produce unseen images of apples.</t>
  </si>
  <si>
    <t>The GAN discriminator is trained specifically to distinguish between real data and synthetic images from the generator, not to categorize different object classes. It learns "real vs. fake" within the target domain rather than "apple vs. non-apple."</t>
  </si>
  <si>
    <t>Which of the following statements correctly describe differences between structures and unions? (Select all that apply.)
A) Structures allocate memory equal to the sum of all members’ sizes.
B) Unions allocate memory equal to the size of their largest member.
C) Structures can store values in only one member at a time.
D) Unions can store values in all members simultaneously.</t>
  </si>
  <si>
    <t>Structures allocate memory for all members simultaneously, summing their sizes, while unions allocate memory only for the largest member, reusing the same space. Thus, structures can store all members at once, unlike unions which store only one at a time.</t>
  </si>
  <si>
    <t>You want to find department IDs that have more than 10 employees. The correct SQL query is 
`SELECT dept_id FROM Employees GROUP BY dept_id ______ COUNT(*) &gt; 10;`.</t>
  </si>
  <si>
    <t>HAVING</t>
  </si>
  <si>
    <t>Use `HAVING` because it filters aggregated results after `GROUP BY`, while `WHERE` filters individual rows before aggregation.</t>
  </si>
  <si>
    <t>After training a neural network, you observe a large gap between the training accuracy (100%) and the test accuracy (42%). Which of the following methods is commonly used to reduce this gap?
A) Generative Adversarial Networks
B) Dropout
C) Sigmoid activation
D) RMSprop optimizer</t>
  </si>
  <si>
    <t>Dropout reduces overfitting by randomly deactivating neurons during training, preventing reliance on specific features. GANs generate data, sigmoid is an activation function, and RMSprop is an optimizer—none directly address the overfitting indicated by the accuracy gap.</t>
  </si>
  <si>
    <t>Regarding stacks and queues, which of the following statements are true? (Select all that apply.)
A) A stack follows the Last In First Out (LIFO) principle.
B) A queue follows the First In First Out (FIFO) principle.
C) Circular queues solve the problem of false overflow in linear queues.
D) Priority queues allow insertion only at the rear but deletion based on priority.</t>
  </si>
  <si>
    <t>Stacks follow LIFO, while queues follow FIFO. Circular queues prevent false overflow by reusing empty spaces at the front. Priority queues differ from standard queues as they prioritize element importance over arrival order during the deletion process.</t>
  </si>
  <si>
    <t>Does the relational model, as seen by an SQL query writer, provide physical and logical data independence? Explain.</t>
  </si>
  <si>
    <t>The user of SQL has no idea how the data is physically represented in the machine. He or she relies entirely on the relation abstraction for querying. Physical data independence is therefore assured. Since a user can define views, logical data independence can also be achieved by using view definitions to hide changes in the conceptual schema.</t>
  </si>
  <si>
    <t>Yes, it provides both: logical independence via views that abstract base tables, and physical independence as queries reference logical schemas unaffected by storage changes like indexing.</t>
  </si>
  <si>
    <t>What is a primary advantage of linked lists over sequential data structures like arrays?
A) Faster random access to elements
B) Fixed memory allocation
C) Dynamic memory allocation
D) Simpler implementation of sorting algorithms</t>
  </si>
  <si>
    <t>Linked lists allow dynamic memory allocation, enabling efficient insertion and deletion without preallocating fixed space. Arrays have fixed sizes and require contiguous memory, making random access faster (A) but resizing costly, contradicting B and D.</t>
  </si>
  <si>
    <t>A computer with L1 cache only must be slower than a computer with L1 and L2 caches.</t>
  </si>
  <si>
    <t>A larger L1 cache alone could outperform a smaller L1 with L2.</t>
  </si>
  <si>
    <t>Which of the following statement is true?
A) For a linear classifier, initializing all the weights and biases to zero will result in all the elements in the final W matrix to be the same.
B) If we have a small dataset consisting of handwritten alphabets A-Z, and we wish to train a handwriting recognition model, it would be a good idea to augment the dataset by randomly flipping each image horizontally and vertically, given that we know that each letter is equally represented in the original dataset.
C) If we have a trained softmax classifier that yields 100% accuracy on the dataset and we change the weights matrix W to 3W, the classifier will maintain the same accuracy and will have a smaller cross entropy loss without regularization.
D) If we are using the KNN-method with L1 distances to classify images, horizontally flipping each training and test image will not lead to a change in the prediction accuracy.</t>
  </si>
  <si>
    <t>D is correct because L1 distance is invariant to horizontal flipping, as pixel-wise absolute differences remain unchanged. A is false due to symmetry breaking; B is false as flipping alters letter shapes; C is false because scaling weights changes softmax probabilities and loss.</t>
  </si>
  <si>
    <t>Consider a direct-mapped cache memory. Which one of the following statements is true?
A) The cache has 1 line per set.
B) The cache has 1 word per block.
C) The cache has 1 set per cache.
D) None of the above.</t>
  </si>
  <si>
    <t>In a direct-mapped cache, each memory address maps to exactly one specific cache line. This configuration is mathematically equivalent to a 1-way set-associative cache, meaning every set contains exactly one line. Block size and total set count are independent parameters.</t>
  </si>
  <si>
    <t>If P is risk probability, L is loss, then Risk Exposure (RE) is computed as_____ .
A) RE = P/L
B) RE = P + L
C) RE = P*L
D) RE = 2* P *L</t>
  </si>
  <si>
    <t>Risk exposure quantifies expected loss, defined as the product of probability and impact. Multiplying P and L yields the average loss over many trials, whereas adding or dividing misrepresents the relationship.</t>
  </si>
  <si>
    <t>Which current cryptographic algorithms are considered vulnerable to a sufficiently powerful Quantum Computer (Shor's Algorithm)? (Select all that apply.)
A) RSA (Factorization).
B) ECDSA (Discrete Log).
C) AES-256 (Symmetric).
D) SHA-256 (Hash).</t>
  </si>
  <si>
    <t>RSA and ECDSA rely on integer factorization and discrete logarithms, which Shor's algorithm can solve efficiently. AES-256 and SHA-256 are symmetric and hash functions, respectively, and are only threatened by Grover's algorithm, requiring larger key/output sizes for security.</t>
  </si>
  <si>
    <t>The control unit of the basic computer generates control signals based solely on the current instruction opcode without considering the timing signals.</t>
  </si>
  <si>
    <t>Control signals depend on both the opcode and timing signals to sequence instruction execution steps.</t>
  </si>
  <si>
    <t>What is the significance of overlapped register windows in RISC processors, and how do they improve procedure call performance?</t>
  </si>
  <si>
    <t>Overlapped register windows allocate separate sets of registers to different procedures with some registers shared between adjacent windows. This arrangement allows parameters to be passed between procedures via overlapping registers without explicit saving and restoring, reducing memory accesses. When a procedure is called, the pointer to the current window increments, activating a new register set. This mechanism minimizes overhead during procedure calls and returns, improving performance especially in high-level language programs with frequent subroutine calls</t>
  </si>
  <si>
    <t>Overlapped register windows reduce memory accesses by allowing adjacent procedures to share some registers, eliminating the need to save and restore registers on the call stack, thus accelerating procedure calls.</t>
  </si>
  <si>
    <t>What advantages do binary heaps offer in implementing priority queues, and how does the heap property facilitate efficient operations?</t>
  </si>
  <si>
    <t>Binary heaps provide an efficient way to implement priority queues by maintaining a complete binary tree structure where each node satisfies the heap property—that is, every parent node is either greater than or equal to (max heap) or less than or equal to (min heap) its children. This property ensures that the highest or lowest priority element is always at the root, enabling quick access. Operations like insertion and deletion can be done in logarithmic time because the heap property allows reordering the elements by traversing only a path from root to leaf or vice versa</t>
  </si>
  <si>
    <t>Binary heaps enable O(log n) insertions and deletions by maintaining the heap property, which ensures the highest (or lowest) priority element is always at the root for immediate O(1) access.</t>
  </si>
  <si>
    <t>A Surrogate Key is a primary key derived from existing application data (such as a Social Security Number or Email Address) that has business meaning.</t>
  </si>
  <si>
    <t>A surrogate key is system-generated and lacks business meaning, unlike natural keys derived from application data.</t>
  </si>
  <si>
    <t>In a hash table, collisions can be completely eliminated by choosing an appropriate hash function.</t>
  </si>
  <si>
    <t>Collisions are inevitable due to the pigeonhole principle when mapping a large key space to a smaller table.</t>
  </si>
  <si>
    <t>Explain why increasing the length of a cache's lines could decrease the hit rate?</t>
  </si>
  <si>
    <t>Assuming the cache size stays the same, increasing the length of each line decreases the number of lines that can be stored in the cache. This can increase the number of conflict misses, because there are fewer spaces for lines to be placed in the cache, so it is more likely that two lines will compete for the same space in the cache.</t>
  </si>
  <si>
    <t>Longer lines increase spatial locality but also increase the chance of conflict misses as fewer distinct lines fit in the cache, potentially evicting useful data before it is reused.</t>
  </si>
  <si>
    <t>The address of the element Marks[8][5] in a two-dimensional array stored in row-major order with base address 2000 and element size 2 bytes is ______.</t>
  </si>
  <si>
    <t>Row-major order computes address as Base + ((row × number_of_cols) + col) × size: 2000 + ((8 × 5) + 5) × 2 = 2000 + (40 + 5) × 2 = 2000 + 90 = 2090.</t>
  </si>
  <si>
    <t>A _______ is a specialized tree data structure used for efficient retrieval of keys in a dataset, especially strings.</t>
  </si>
  <si>
    <t>trie</t>
  </si>
  <si>
    <t>A trie organizes keys by their prefixes, enabling fast lookups and insertions by traversing nodes representing characters, which is particularly efficient for string datasets compared to other tree structures.</t>
  </si>
  <si>
    <t>In the OAuth 2.0 Authorization Code flow with PKCE, the client generates a random string called the code_verifier and sends a hashed version of it, called the ______, in the initial authorization request.</t>
  </si>
  <si>
    <t>code_challenge</t>
  </si>
  <si>
    <t>The client sends the SHA-256 hash of the code_verifier, called the code_challenge, to the authorization server. This prevents interception of the authorization code, as the server later verifies it matches the original verifier.</t>
  </si>
  <si>
    <t>A circularly linked list is disadvantageous because it inherently lacks a termination condition during traversal, thus causing infinite loops unless special care is taken.</t>
  </si>
  <si>
    <t>Traversals lack a null terminator, requiring comparisons against the starting node or a size counter to prevent infinite loops.</t>
  </si>
  <si>
    <t>Module A calls Module B. You are reviewing the design to minimize Coupling. According to Software Engineering concepts, which of the following scenarios represent *high* (undesirable) coupling that should be refactored? (Select all that apply.)
A) Module A passes a simple integer data parameter to Module B. 
B) Module A passes a "control flag" to Module B that dictates which logic B should execute. 
C) Module A directly modifies the internal data of Module B. 
D) Module A passes a massive record structure to Module B, even though B only needs one field from it.</t>
  </si>
  <si>
    <t>B and C represent control and content coupling, which are undesirable because they create tight dependencies. D is undesirable stamp coupling, where passing excessive data increases complexity. A is acceptable data coupling, as it passes only necessary simple data.</t>
  </si>
  <si>
    <t>Calculate the result of multiplying the byte 0x80 by 0x02 in the AES finite field.
A) 0x00
B) 0x1B
C) 0x100
D) 0xFF</t>
  </si>
  <si>
    <t>In AES, multiplying by 0x02 is a left shift and conditional XOR with 0x1B if the high bit is set. 0x80 has its high bit set, so shifting gives 0x100, then XOR with 0x1B yields 0x1B.</t>
  </si>
  <si>
    <t>Which are the methods that can mitigate gradient exploding? (Select all that apply.)
A) Using ReLU activation instead of sigmoid.
B) Adding Batch Normalization layers.
C) Applying gradient clipping.
D) Using residual connection.</t>
  </si>
  <si>
    <t>Batch normalization stabilizes distributions and reduces high sensitivities, while gradient clipping restricts the magnitude of backpropagated derivatives. ReLU and residual connections mitigate vanishing gradients but do not inherently prevent the multiplicative growth of gradients that causes exploding gradients.</t>
  </si>
  <si>
    <t>Which of the following are characteristics of multiply linked lists? (Select all that apply.)
A) Nodes contain multiple data and link fields.
B) They are used to represent networks of interconnected linked lists.
C) Each link field connects to a separate singly linked list.
D) Multiply linked lists can only represent circular lists.</t>
  </si>
  <si>
    <t>Nodes contain multiple data and link fields (A), enabling representation of interconnected networks (B) where each link can connect to a separate list (C). They are not limited to circular structures, making D incorrect.</t>
  </si>
  <si>
    <t>Which of the following modern protections make standard stack-based buffer overflow exploitation (e.g., strcpy) significantly harder? (Select all that apply.)
A) Stack Canaries (Stack Cookies).
B) ASLR (Address Space Layout Randomization).
C) DEP (Data Execution Prevention) / NX Bit.
D) Static Analysis tools (e.g., Lint).</t>
  </si>
  <si>
    <t>Stack canaries detect overflow corruption, ASLR randomizes memory addresses to hinder reliable shellcode targeting, and DEP/NX prevents execution of injected code on the stack. Static analysis is a development-time aid, not a runtime protection.</t>
  </si>
  <si>
    <t>RAID 5 suffers from a performance degradation known as the "Write Penalty," because a single logical random write requires ______ (enter a value) physical I/O operations (reads and writes combined) to update the data and parity blocks.</t>
  </si>
  <si>
    <t>RAID 5 requires reading the old data and parity blocks, computing the new parity, and then writing both the new data and parity blocks, totaling four physical I/O operations for a single random write.</t>
  </si>
  <si>
    <t>Which of the following is not a part of the Test Implementation and Execution Phase?
A) Creating test suites from the test cases
B) Executing test cases either manually or by using test execution tools
C) Comparing actual results
D) Designing the Tests</t>
  </si>
  <si>
    <t>D is correct because test design occurs earlier in the test process, during the Test Analysis and Design phase. The Implementation and Execution phase involves organizing, running tests (A, B), and evaluating outcomes (C).</t>
  </si>
  <si>
    <t>Which of the following events does not generate a signal?
A) Division by zero
B) A new connection arrives on a listening socket
C) A write is attempted on a disconnected socket
D) NULL is dereferenced</t>
  </si>
  <si>
    <t>Hardware exceptions like division by zero or NULL dereferences trigger synchronous signals, while broken sockets generate SIGPIPE. Incoming socket connections are managed through asynchronous events or polling mechanisms rather than signals, making B the only non-signal event.</t>
  </si>
  <si>
    <t>For a cache with 128-byte cache lines, the address of the first word in the line containing the following address 0xeefabcd2 is 0x______ .</t>
  </si>
  <si>
    <t>eefabc80</t>
  </si>
  <si>
    <t>A 128-byte cache line requires 7 offset bits. Clearing the lowest 7 bits of 0xeefabcd2 (bitwise-AND with ­~0x7F) yields 0xeefabc80, the starting address of that cache line.</t>
  </si>
  <si>
    <t>Which of the following costs is the non-saturating generator cost for GANs (G is the generator and D is the discriminator)?
A) J^{G} = \frac{1}{m} \sum^m_{i=1}log(1-D(G(z^{(i)}))
B) J^{G} = -\frac{1}{m} \sum^m_{i=1}log(D(G(z^{(i)}))
C) J^{G} = \frac{1}{m} \sum^m_{i=1}log(1-G(D(z^{(i)}))
D) J^{G} = -\frac{1}{m} \sum^m_{i=1}log(G(D(z^{(i)}))</t>
  </si>
  <si>
    <t>The non-saturating cost avoids the vanishing gradient when D is confident, so G maximizes log(D(G(z))) instead of minimizing log(1-D(G(z))). Option B correctly inverts the sign for maximization, while others use incorrect function compositions or signs.</t>
  </si>
  <si>
    <t>Suppose you have a clustered B+tree index on the Emp table with composite search key ⟨age,dno⟩. Consider the following query `SELECT * FROM Emp E WHERE E.dno=5`, it would be more eﬃcient to answer this query using the index than simply doing a file scan.</t>
  </si>
  <si>
    <t>The composite index is ordered by age first, so dno values are not clustered.</t>
  </si>
  <si>
    <t>Describe the use of locks for improved conflict resolution in Optimistic Concurrency Control.</t>
  </si>
  <si>
    <t>In Optimistic Concurrency Control, we have no way to tell when T_i wrote the object at the time we validate T_j, since all we have is the list of objects written by T_i and the list read by T_j. To solve such conflict, we use mechanisms very similar to locking. The basic idea is that each transaction in the Read phase tells the DBMS about items it is reading, and when a transaction T_i is committed and its writes are accepted, the DBMS checks whether any of the items written by T_i are being rad by any (yet to be validated) transaction T_j. If so, we know that T_j’s validation must eventually fail. Then we can pick either the die or kill policy to resolve the conflict.</t>
  </si>
  <si>
    <t>Locks are used in OCC's validation phase to temporarily serialize conflicting transactions, ensuring atomicity of the commit check and preventing the lost update problem that can occur with pure timestamp-based validation.</t>
  </si>
  <si>
    <t>Stepwise regression (linear regression with an L0 penalty) is scale invariant.</t>
  </si>
  <si>
    <t>The L0 penalty counts selected variables, rescaling predictors only rescales their coefficients and does not affect chosen subset.</t>
  </si>
  <si>
    <t>The "Clock" page replacement algorithm is an efficient approximation of the ______ policy, avoiding the overhead of manipulating a queue pointer on every page access.</t>
  </si>
  <si>
    <t>LRU</t>
  </si>
  <si>
    <t>The Clock algorithm is specifically designed to approximate LRU behavior using reference bits.</t>
  </si>
  <si>
    <t>Consider the following C program with error handling omitted:```int main() { if (fork() == 0) { printf("a"); } else { printf("b"); waitpid(-1, NULL, 0); } printf("c"); exit(0); }```. Which of the following output sequences is IMPOSSIBLE? (Assume standard buffering behavior is flushed or irrelevant for this topological sort).
A) acbc 
B) bacc 
C) bcac 
D) abcc</t>
  </si>
  <si>
    <t>After fork, child prints a then c and exits. Parent prints b, blocks in waitpid until the child terminates, then prints its c. Thus required ordering is a &lt; child-c &lt; parent-c and b &lt; parent-c. Sequence bcac puts child-c before a, violating this dependency, so it cannot occur; the other sequences respect the constraints.</t>
  </si>
  <si>
    <t>The k-nearest neighbor (k-NN) classifier is a parametric method because it learns a set of parameters during training.</t>
  </si>
  <si>
    <t>The k-NN classifier is non-parametric; it does not learn a fixed set of parameters but stores all training data for prediction.</t>
  </si>
  <si>
    <t>Which of the following are true about kd-trees? (Select all that apply.)
A) kd-trees store points in O(n) space and answer 2D orthogonal range queries in O(√n + k) time.
B) The MBR of nodes in kd-trees can be used to prune search paths.
C) Any vertical or horizontal line intersects O(√n) MBRs in a kd-tree.
D) kd-trees can answer 3-sided range queries in O(log n + k) time.</t>
  </si>
  <si>
    <t>kd-trees use $O(n)$ space and provide $O(\sqrt{n} + k)$ query time because axis-parallel lines intersect only $O(\sqrt{n})$ regions, enabling MBR-based pruning. Statement D is false because kd-trees require $O(\sqrt{n} + k)$ for 3-sided queries, unlike priority search trees.</t>
  </si>
  <si>
    <t>Assume the vectors v and u are defined as numpy arrays. The vectors are multiplied together using the * operator: v*u. Which of the following shapes are valid, meaning the operation will succeed without errors? (Select all that apply.)
A) v = (5, 1), u = (5, 1)
B) v = (1, 5), u = (50, 5)
C) v = (1, 1), u = (50, 5)
D) v = (1, 5), u = (1, 50)</t>
  </si>
  <si>
    <t>NumPy broadcasting allows element-wise multiplication if dimensions match or one is size one. Choice D fails because the second dimensions, 5 and 50, are unequal and neither is one, preventing the arrays from being broadcast to a compatible shape.</t>
  </si>
  <si>
    <t>In the basic computer, register transfer operations that attempt to load two different values into the same register simultaneously cannot be executed in a single clock cycle.</t>
  </si>
  <si>
    <t>A register can only store one value at a time, preventing simultaneous conflicting writes.</t>
  </si>
  <si>
    <t>Which notation would you use to express a tight bound where f(n) and g(n) grow at the same asymptotic rate?
A) Ω(g(n))
B) Θ(g(n))
C) o(g(n))
D) O(g(n))</t>
  </si>
  <si>
    <t>The correct answer is B because Θ(g(n)) denotes an asymptotically tight bound, meaning f(n) grows at the same rate as g(n). The others are incorrect: O(g(n)) is an upper bound, Ω(g(n)) is a lower bound, and o(g(n)) is a strict upper bound.</t>
  </si>
  <si>
    <t>You want to find students who have taken *all* courses offered by the CS department. The correct SQL query is: `SELECT s.student_id FROM Students s WHERE NOT EXISTS (SELECT c.course_id FROM Courses c WHERE c.dept = 'CS' ______ SELECT t.course_id FROM Taken t WHERE t.student_id = s.student_id );`.</t>
  </si>
  <si>
    <t>EXCEPT (or MINUS is correct answer too)</t>
  </si>
  <si>
    <t>This query implements relational division using double negation. The EXCEPT operator identifies CS courses a student has not taken; if that resulting set is empty (NOT EXISTS), the student has successfully taken every course in the department.</t>
  </si>
  <si>
    <t>Why is scaling (γ) and shifting (β) often applied after the standard normalization in the batch normalization layer?</t>
  </si>
  <si>
    <t>Simply normalizing the inputs of a layer may change what the layer can represent. For instance, normalizing the inputs of a sigmoid function would constrain them to the linear regime of the nonlinearity. Inserting learnable transformation in the batch norm layer restores the representation power of the network.</t>
  </si>
  <si>
    <t>Batch normalization standardizes activations to zero mean and unit variance, which can limit representational capacity. Scaling (γ) and shifting (β) reintroduce learnable parameters, allowing the network to restore optimal distributions for each layer's output.</t>
  </si>
  <si>
    <t>Software Requirement Specification (SRS) is also known as specification of __________.</t>
  </si>
  <si>
    <t>Black box testing</t>
  </si>
  <si>
    <t>The Software Requirement Specification (SRS) describes functional behavior without detailing internal logic. Since black box testing focuses exclusively on inputs and outputs based on these requirements rather than code structure, the SRS serves as the foundational document for designing these tests.</t>
  </si>
  <si>
    <t>The linked list representation used for sparse matrices is a ________ linked list</t>
  </si>
  <si>
    <t>multiply (or multilinked)</t>
  </si>
  <si>
    <t>To efficiently traverse non-zero elements by both row and column in a sparse matrix, each node is linked into two separate lists, forming a multilinked structure, which is a more complex form than a singly or doubly linked list.</t>
  </si>
  <si>
    <t>Which of the following RAID levels can tolerate the failure of at least one drive without data loss? (Select all that apply.)
A) RAID 0
B) RAID 1
C) RAID 5
D) RAID 10</t>
  </si>
  <si>
    <t>RAID 1, 5, and 10 provide redundancy through mirroring or parity, allowing data recovery if one drive fails. RAID 0 offers no redundancy, so a single drive failure results in total data loss.</t>
  </si>
  <si>
    <t>Which of the following statements about neural network universal approximation are accurate? (Select all that apply.)
A) Certain classes of neural networks can approximate any continuous function on a compact domain.
B) Universal approximation requires infinitely many neurons in a single hidden layer.
C) Deeper networks can approximate functions more efficiently than shallow networks.
D) Universal approximation guarantees exact representation of any function.</t>
  </si>
  <si>
    <t>A is correct due to the universal approximation theorem for networks with one hidden layer and sufficient neurons. C is correct as depth can reduce the number of neurons needed for certain functions. B is incorrect because a finite number of neurons suffices. D is incorrect as approximation is asymptotic, not exact.</t>
  </si>
  <si>
    <t>Duplicating a feature in linear regression
A) Does not reduce the L2-Penalized Residual Sum of Squares.
B) Does not reduce the Residual Sum of Squares (RSS).
C) Can reduce the L1-Penalized Residual Sum of Squares (RSS).
D) None of the above</t>
  </si>
  <si>
    <t>Duplicating a feature adds no new information to the model, so the minimum Residual Sum of Squares remains unchanged. Penalized methods like Ridge or Lasso can actually see a reduction in the penalty term through weight distribution, but the unpenalized RSS remains identical.</t>
  </si>
  <si>
    <t>Describe the difference between isolated I/O and memory-mapped I/O. What are the advantages of memory-mapped I/O?</t>
  </si>
  <si>
    <t>Isolated I/O uses separate address spaces and dedicated instructions for I/O operations, requiring the CPU to distinguish between memory and I/O addresses explicitly. Memory-mapped I/O integrates I/O devices into the main memory address space, allowing the CPU to use ordinary memory instructions to access I/O devices. Memory-mapped I/O simplifies the instruction set by eliminating special I/O instructions and allows more flexible programming since all instructions can operate on I/O and memory uniformly. However, it requires careful address space management to avoid conflicts.</t>
  </si>
  <si>
    <t>Memory-mapped I/O uses the same address space as memory, allowing standard memory instructions for I/O, while isolated I/O uses a separate address space requiring special instructions. Its advantages include simpler hardware and a richer instruction set for I/O operations.</t>
  </si>
  <si>
    <t>Which of the below can you implement to solve the exploding gradient problem?
A) Use SGD optimization
B) Oversample minority classes
C) Increase the batch size
D) Impose gradient clipping</t>
  </si>
  <si>
    <t>Gradient clipping directly limits gradient magnitudes, preventing instability. SGD, oversampling, and larger batches do not inherently bound gradients; they address optimization speed, class imbalance, or noise, not gradient explosion.</t>
  </si>
  <si>
    <t>Which of the following statement is true?
A) If the input to a ConvNet is a zero image (all zeros), the class probabilities will be uniform.
B) You train a model and you observe that the validation set accuracy is significantly lower than the train accuracy. Your friend suggests you to use batch normalization and you agree it is a good idea. After using batch normalization, the new model is likely to have a smaller gap between the train and validation accuracies.
C) For an n-dimensional vector y, the softmax of y will be the same as the softmax of cy, where cis any real number since softmax normalises the predictions to yield a probability distribution.
D) For data normalization, we typically compute the mean and standard deviation across the entire dataset, before splitting it into train/val/test splits.</t>
  </si>
  <si>
    <t>Batch normalization acts as a regularizer, reducing overfitting and narrowing the generalization gap. Option A is false due to learned biases; C is false because scaling affects the relative probability magnitudes; D is false to prevent data leakage from test sets.</t>
  </si>
  <si>
    <t>If a DRAM has 512 rows, and its refresh time is 10 ms, an average of 1 row refresh every  ______ (s) in standard scientific notation in the nearest 2 decimal places.</t>
  </si>
  <si>
    <t>1.95 * 10^-5</t>
  </si>
  <si>
    <t>The average refresh interval is calculated by dividing the total refresh period by the number of rows. Converting 10 ms to seconds and dividing by 512 rows yields $1.95 \times 10^{-5}$ seconds per row refresh operation.</t>
  </si>
  <si>
    <t>Certificate Transparency (CT) requires CAs to submit certificates to public, append-only ______ logs, allowing domain owners to monitor for unauthorized certificate issuance.</t>
  </si>
  <si>
    <t>Merkle</t>
  </si>
  <si>
    <t>The logs are structured as Merkle Trees to ensure they are append-only and tamper-evident.</t>
  </si>
  <si>
    <t>Suppose that the kernel delivers two SIGCHLD signals to the parent while the parent is not scheduled.When the kernel finally schedules the parent, how many times will the SIGCHLD handler be called?
A) None, because sending multiple signals will always crash the program.
B) Exactly once, because signals are not queued.
C) Exactly twice, because signals are queued.
D) More than twice, depending on how the handler is installed.</t>
  </si>
  <si>
    <t>The SIGCHLD handler is called once because signals of the same type are not queued in standard Unix; multiple pending signals of the same type are merged into a single delivery.</t>
  </si>
  <si>
    <t>Which of the following are true for backpropagation? (Select all that apply.)
A) If the neural network has O(n) parameters, backpropagation is an O(n2) operation.
B) Backpropagation works only if a computational graph has no directed cyclic paths.
C) We update the β parameter in Adam using backpropagation.
D) We update the γ parameter in Batch Normalization using backpropagation.</t>
  </si>
  <si>
    <t>Backpropagation requires acyclic graphs to avoid infinite loops, making B true. The γ parameter in batch normalization is learned via backpropagation, so D is correct. Backpropagation is O(n), not O(n²), and Adam's β is a hyperparameter, not updated by backpropagation.</t>
  </si>
  <si>
    <t>Which one of the following statements is NOT true of storage allocators?
A) In the best case, coalescing with boundary tags is linear in the number of free blocks.
B) Seglists typically approximate best fit search.
C) Payloads must be aligned to some boundary.
D) Explicit lists are typically faster than implicit lists.</t>
  </si>
  <si>
    <t>Boundary tags allow for constant time coalescing because the allocator can immediately access preceding and succeeding blocks without traversing the list. While seglists approximate best fit and explicit lists outpace implicit ones, constant time—not linear—is the best-case complexity.</t>
  </si>
  <si>
    <t>Which of the following logic microoperations can be directly implemented in hardware? (Select all that apply.)
A) AND
B) OR
C) XOR (exclusive-OR)
D) NAND</t>
  </si>
  <si>
    <t>AND, OR and XOR are primitive Boolean operations directly produced by single gates in ALU hardware, so microinstructions can assert them individually. NAND needs an AND followed by inversion, adding a step, so it is not directly provided.</t>
  </si>
  <si>
    <t>An AVL tree is a self-balancing binary search tree where the balance factor of each node is allowed to be any integer.</t>
  </si>
  <si>
    <t>The balance factor in an AVL tree is restricted to -1, 0, or +1.</t>
  </si>
  <si>
    <t>How does the choice of data structure influence the efficiency of an algorithm, and why is it important to consider data structures during algorithm design?</t>
  </si>
  <si>
    <t>The choice of data structure directly affects an algorithm's efficiency because data structures determine how data is stored, accessed, and manipulated. Selecting an appropriate data structure enables more efficient operations like insertion, deletion, and searching, thereby reducing time and space complexity. Considering data structures during algorithm design ensures that the overall solution is optimized, as the algorithm’s performance depends not only on the logic but also on how data is represented</t>
  </si>
  <si>
    <t>The data structure determines how data is organized and accessed, directly impacting time and space complexity. Choosing the right one optimizes performance for specific operations, making it a fundamental design consideration for algorithmic efficiency.</t>
  </si>
  <si>
    <t>In a biometric authentication system, the "Crossover Error Rate" (CER) represents the point where the False Acceptance Rate (FAR) and False Rejection Rate (FRR) are equal, and a lower CER indicates a more accurate system.</t>
  </si>
  <si>
    <t>Equal FAR and FRR at CER balances errors, and lower CER means fewer errors overall, indicating better accuracy.</t>
  </si>
  <si>
    <t>Given this code snippet below:
```assembly
irmovq $2, %rsi
irmovq $1, %rdi
foo:
subq %rdi, %rsi
jle foo
halt
```
The final value of %rsi when the above assembly snippet is executed is ______.</t>
  </si>
  <si>
    <t>Register rsi initializes to 2; the loop subtracts 1 once, producing 1. Because the result is positive and non-zero, jle fails, exiting the loop, so execution halts with rsi containing 1.</t>
  </si>
  <si>
    <t>You want to build a 10-class neural network classifier, Given a cat image, you want to classify which of the 10 cat breeds it belongs to. One of your friends has trained a cat vs. non-cat classifier. It performs very well and you want to use transfer learning to build your own model. Provide what additional hyperparameters (due to the transfer learning) you will need to tune.</t>
  </si>
  <si>
    <t>The parameters you would need to choose are: 1) How many layers of the original network to keep. 2) How many new layers to introduce 3) How many of the layers of the original network would you want to keep frozen while fine tuning.</t>
  </si>
  <si>
    <t>You must decide which layers to freeze or fine-tune, and the new classifier's learning rate, as the pre-trained model's features are relevant but the final layers need retraining for the specific breeds.</t>
  </si>
  <si>
    <t>__________ is a software developing team has a defined leader who coordinates specific tasks and secondary leaders that have responsibility for sub tasks.</t>
  </si>
  <si>
    <t>Controlled decentralized</t>
  </si>
  <si>
    <t>In a controlled decentralized team, a permanent leader coordinates overall tasks while delegating subtasks to secondary leaders. This structure balances collective problem-solving with a hierarchical management approach to maintain organizational control across multiple subgroups.</t>
  </si>
  <si>
    <t>Which data structure is best suited to implement job scheduling in a time-sharing system where jobs are executed in a round-robin fashion?
A) Stack
B) Priority queue
C) Circular queue
D) Linked list</t>
  </si>
  <si>
    <t>A circular queue efficiently supports round-robin scheduling by allowing jobs to be dequeued from the front and newly arriving or preempted jobs to be enqueued at the rear in a continuous cycle, unlike stacks, priority queues, or standard linked lists which lack this cyclic FIFO behavior.</t>
  </si>
  <si>
    <t>A "Stateless" Packet Filter firewall can inherently detect and block a TCP ACK scan (a packet with only the ACK flag set) that is not part of an existing established connection.</t>
  </si>
  <si>
    <t>Stateless filters lack connection tracking and cannot distinguish ACK packets from established versus new connections.</t>
  </si>
  <si>
    <t>Describe a DNS Rebinding attack. How does an attacker bypass the Same-Origin Policy (SOP) to allow a malicious script running in a browser to read data from a user's local router (e.g., 192.168.1.1)?</t>
  </si>
  <si>
    <t>The attacker registers a domain (e.g., evil.com) and configures its DNS with a very short TTL. When the victim visits, the DNS resolves to the attacker's server IP, loading malicious JS. The script waits for the TTL to expire and makes a new request to evil.com. The attacker's DNS server then responds with the target internal IP (192.168.1.1). The browser, seeing the domain is unchanged, allows the request under SOP, letting the script read data from the local router.</t>
  </si>
  <si>
    <t>A DNS Rebinding attack bypasses SOP by having a malicious site resolve to an external IP, then rebinding its domain to an internal IP (like 192.168.1.1), tricking the browser into allowing the script to access the local network as if it were same-origin.</t>
  </si>
  <si>
    <t>Compare polynomial time and exponential time algorithms in terms of efficiency and practical feasibility.</t>
  </si>
  <si>
    <t>Polynomial time algorithms scale reasonably with input size and are generally feasible for practical use, whereas exponential time algorithms grow too rapidly, quickly exceeding computational resources, rendering them impractical for large inputs.</t>
  </si>
  <si>
    <t>Polynomial-time algorithms scale efficiently with input size, making them generally feasible for large instances, whereas exponential-time algorithms become intractable beyond small inputs due to their rapid growth, limiting practical use.</t>
  </si>
  <si>
    <t>Given a last-level CPU cache that follows the write-back policy, a cache replacement that happens to a dirty cache line in it would not write the cache line to main memory, as it does not use the write-through policy.</t>
  </si>
  <si>
    <t>Write-back caches must write dirty lines to memory before eviction to preserve data consistency.</t>
  </si>
  <si>
    <t>Which of the following activation functions can lead to vanishing gradients?
A) ReLU
B) Tanh
C) Leaky ReLU
D) None of the above</t>
  </si>
  <si>
    <t>The correct answer is B because tanh saturates at ±1, causing gradients near zero for large inputs. ReLU and Leaky ReLU avoid this by having constant positive slopes, preventing vanishing gradients in deep networks.</t>
  </si>
  <si>
    <t>In Reverse Polish notation, expression A*B+C*D is written as ______.</t>
  </si>
  <si>
    <t>AB*CD*+</t>
  </si>
  <si>
    <t>In Reverse Polish notation, operators follow their operands. The expression A*B+C*D is evaluated as (A*B)+(C*D), so first write AB* for A*B, then CD* for C*D, and finally the + operator to combine them, resulting in AB*CD*+.</t>
  </si>
  <si>
    <t>What is/are the correct statements about B-trees and generalized M-way search trees? (Select all that apply.)
A) Every node in a B-tree of order m has at most m children and m-1 keys.
B) All leaf nodes in a B-tree are at the same level.
C) In an M-way search tree, each node must have exactly M-1 keys and M children.
D) B+ trees store data only at the leaf nodes, with internal nodes storing only keys for indexing.</t>
  </si>
  <si>
    <t>A B-tree of order m has at most m children and m-1 keys per node, and all leaves are at the same depth. An M-way search tree does not require exactly M children. B+ trees store data only at leaves.</t>
  </si>
  <si>
    <t>An edge-triggered flip-flop responds continuously to input changes as long as the clock signal is high.</t>
  </si>
  <si>
    <t>Edge-triggered flip-flops respond only at the clock transition, not continuously while the clock is high.</t>
  </si>
  <si>
    <t>The process of simplifying Boolean functions by grouping adjacent 1s in a Karnaugh map, including the consideration of "don't care" conditions marked with ________________, leads to minimal expressions.</t>
  </si>
  <si>
    <t>X</t>
  </si>
  <si>
    <t>In Karnaugh maps, "don't care" conditions are marked with an **X**, representing inputs where the output is irrelevant, allowing them to be treated as either 0 or 1 to form larger groups and achieve a more minimal Boolean expression.</t>
  </si>
  <si>
    <t>Linear Hashing avoids the use of a Global Directory (as seen in Extendible Hashing) by splitting buckets in a deterministic round-robin order, regardless of which specific bucket overflowed.</t>
  </si>
  <si>
    <t>Splits follow a fixed sequence independent of overflow location.</t>
  </si>
  <si>
    <t>One of the fault base testing techniques is __________ .</t>
  </si>
  <si>
    <t>Mutation Testing</t>
  </si>
  <si>
    <t>Mutation testing systematically introduces small faults (mutants) into the program to evaluate if the test suite can detect them, making it a core fault-based technique for assessing test effectiveness.</t>
  </si>
  <si>
    <t>Assuming no errors, which one of the following statements about fork is true?
A) Called once, returns once.
B) Called once, returns twice.
C) Called once, returns never.
D) Called twice, returns once.</t>
  </si>
  <si>
    <t>The `fork()` system call creates a new process; upon success, it returns the child's PID to the parent and 0 to the child. Therefore, a single call results in two returns, one in each process.</t>
  </si>
  <si>
    <t>The postfix expression "ABC*+D-" is equivalent to the infix expression "(A + (B * C)) - D".</t>
  </si>
  <si>
    <t>Converting the postfix to infix yields exactly that expression.</t>
  </si>
  <si>
    <t>In a microprogrammed control unit, the ________________ field of the microinstruction specifies the conditions under which branching occurs.</t>
  </si>
  <si>
    <t>CD (or condition)</t>
  </si>
  <si>
    <t>The condition field specifies the status bits used to determine if a microprogram branch should be taken. It works with the address field to enable conditional logic within the microsequence, allowing the control unit to respond to external flags.</t>
  </si>
  <si>
    <t>In a binary search tree, all nodes in the right sub-tree have values less than the root node.</t>
  </si>
  <si>
    <t>In a binary search tree, all nodes in the right sub-tree must have values greater than the root node.</t>
  </si>
  <si>
    <t>Consider a trained logistic regression. Its weight vector is W and its test accuracy on a given data set is A. Assuming there is no bias, dividing W by 2 won’t change the test accuracy.</t>
  </si>
  <si>
    <t>Scaling the weight vector preserves the sign of the dot product, leaving the linear decision boundary and predictions unchanged.</t>
  </si>
  <si>
    <t>Which of the following operations are supported by the abstract data type (ADT) array? (Select all that apply.)
A) Store and retrieve elements at given indices.
B) Efficient insertion and deletion at arbitrary positions.
C) Sequential traversal of elements.
D) Dynamic resizing without overhead.</t>
  </si>
  <si>
    <t>An array ADT supports direct access by index (A) and sequential traversal (C). Insertion/deletion (B) is inefficient due to shifting, and dynamic resizing (D) is not inherent, as arrays are typically fixed-size.</t>
  </si>
  <si>
    <t>In the context of Insecure Deserialization (e.g., in Java or PHP), what is a "Gadget Chain"? Why is it necessary for an attacker to use existing code classes rather than just injecting their own script?</t>
  </si>
  <si>
    <t>Deserialization rebuilds objects from data; it does not compile new code. Therefore, an attacker cannot simply send source code to be executed. Instead, they must construct a malicious object graph using classes already present in the application's classpath ("Gadgets"). A "Chain" is formed when the deserialization of the first object triggers a method (like readObject) that calls a method in the next object, eventually leading to a dangerous sink (like Runtime.exec).</t>
  </si>
  <si>
    <t>A gadget chain is a sequence of existing methods in application code that, when deserialized, can be exploited to execute arbitrary code. Attackers must use these existing classes because deserialization reconstructs objects from the application's own classpath, not arbitrary scripts.</t>
  </si>
  <si>
    <t>Using separate instruction and data caches helps to eliminate structural hazards in the classic 5-stage pipeline.</t>
  </si>
  <si>
    <t>Split caches allow simultaneous instruction fetch and data memory access, preventing resource contention between the IF and MEM stages.</t>
  </si>
  <si>
    <t>If a page table on a 32-bit system is 2KB in size, how many entries does it contain?
A) 2048
B) 1024
C) 512
D) 256</t>
  </si>
  <si>
    <t>The page table size is 2KB = 2048 bytes. Each entry in a 32-bit system is 4 bytes (to hold a 32-bit/4-byte frame number). Therefore, the number of entries is 2048 bytes / 4 bytes per entry = 512 entries.</t>
  </si>
  <si>
    <t>In Extendible Hashing, under what specific condition does the size of the Global Directory double?
A) When a bucket overflows and the bucket's Local Depth is less than the Global Depth.
B) When a bucket overflows and the bucket's Local Depth is equal to the Global Depth.
C) Whenever the load factor of the hash table exceeds 75%.
D) When a collision occurs in the overflow chain.</t>
  </si>
  <si>
    <t>The directory doubles when a bucket with local depth equal to global depth overflows, forcing an increase in global depth to accommodate a new split. Other options describe conditions for bucket splitting, load factor resizing, or overflow chaining, which are not the trigger for directory doubling.</t>
  </si>
  <si>
    <t>What is the significance of abstract data types (ADTs) in data structure design?</t>
  </si>
  <si>
    <t>Abstract data types separate the logical behavior of data structures from their implementation details. This abstraction allows programmers to focus on what operations the data structure supports rather than how they are implemented. ADTs enable modularity, code reuse, and easier maintenance by hiding complex implementation while exposing a clean interface</t>
  </si>
  <si>
    <t>Abstract data types separate interface from implementation, enabling modular design and code reuse. This abstraction allows developers to focus on functionality without worrying about underlying details, promoting maintainability and flexibility in software systems.</t>
  </si>
  <si>
    <t>Regarding microinstruction formats and encoding, which are true? (Select all that apply.)
A) Microinstruction fields are encoded to reduce control memory size.
B) Each microoperation field is decoded by a 3x8 decoder to produce control signals.
C) Conflicting microoperations can be specified in different fields simultaneously.
D) Branch address fields are usually longer than microoperation fields.</t>
  </si>
  <si>
    <t>Encoding reduces control memory width by grouping mutually exclusive microoperations into fields. Decoders, such as 3x8 units, then expand these encoded fields into individual control signals. Conflicting operations must be prohibited, and branch addresses typically require fewer bits.</t>
  </si>
  <si>
    <t>In a database operating under the "Snapshot Isolation" level (typically implemented using Multi-Version Concurrency Control), which of the following anomalies is still possible?
A) Dirty Read
B) Non-Repeatable Read
C) Write Skew
D) Phantom Read (in the strict ANSI SQL definition)</t>
  </si>
  <si>
    <t>Snapshot Isolation prevents dirty reads, non-repeatable reads, and phantoms by reading from a consistent snapshot. However, write skew—where concurrent transactions update disjoint data based on overlapping reads—remains possible, as it involves predicate-based conflicts not prevented by snapshot consistency.</t>
  </si>
  <si>
    <t>What are the main drawbacks of sequential data structures that linked lists aim to overcome?</t>
  </si>
  <si>
    <t>Sequential data structures like arrays have drawbacks such as fixed size (requiring reallocation and copying for resizing), inefficient insertions and deletions in the middle (requiring shifting of elements), and potential for memory waste if allocated size is much larger than needed. Linked lists overcome these by allowing dynamic sizing and efficient insertions/deletions by simply adjusting pointers.</t>
  </si>
  <si>
    <t>Sequential data structures like arrays have fixed size and costly insertions/deletions due to shifting. Linked lists overcome these by using dynamic memory allocation and pointers, enabling efficient size changes and O(1) insertions/deletions at known positions without shifting elements.</t>
  </si>
  <si>
    <t>List and explain software re-engineering activities.</t>
  </si>
  <si>
    <t>Reengineering involves putting efforts to make the system easier to maintain. In this process the source code is gets changed for easy maintenance and enhanced functionality of the system. Code cleaning can also happen at this stage along with the enhancement of the system.
The steps involved in re-engineering are:
Understand the overall system – this is an important step as the correctness of the re-engineering process depends largely on how well the original system is understood.
Do reverse engineering – this helps in identifying and understanding various components that comprise the system
Re structure the system in a logical fashion – at this step the original system is re-structure, either with more efficient code, latest technological superior programming language or enhanced functionalities.
Modularize the program and data-this step will improve the functionality to complete the reengineering process</t>
  </si>
  <si>
    <t>Software re-engineering activities include inventory analysis, document restructuring, reverse engineering, code restructuring, data restructuring, and forward engineering. A satisfactory answer must list these core activities and briefly explain each, demonstrating a clear understanding of the systematic process for improving legacy systems.</t>
  </si>
  <si>
    <t>How does the balancing of parentheses problem illustrate the practical utility of stacks?</t>
  </si>
  <si>
    <t>The problem requires tracking opening symbols and matching them with corresponding closing symbols in proper order, which naturally fits the Last In First Out (LIFO) behavior of stacks. Using a stack, one can push opening symbols and pop them when matching closing symbols are found, efficiently detecting mismatches.</t>
  </si>
  <si>
    <t>The problem requires checking nested structures where the last unmatched opening parenthesis must match the next closing one, a last-in, first-out (LIFO) pattern that a stack models perfectly and efficiently.</t>
  </si>
  <si>
    <t>Support vector machines (SVMs) seek to maximize the ____________ between classes, which corresponds to the minimum distance between the decision boundary and any data point.</t>
  </si>
  <si>
    <t>margin</t>
  </si>
  <si>
    <t>SVMs aim to maximize the margin, which is the perpendicular distance between the decision boundary and the nearest data points from each class, thereby improving generalization by finding the hyperplane with the greatest separation.</t>
  </si>
  <si>
    <t>Explain the core mechanic of the KRACK (Key Reinstallation Attack) against WPA2. How does replaying Message 3 of the 4-way handshake compromise encryption without knowing the password?</t>
  </si>
  <si>
    <t>KRACK does not steal the password. Instead, it targets the handshake state machine. By replaying Message 3, the attacker tricks the client into reinstalling the already-negotiated session key. The protocol specification dictates that when a key is installed, the transmit counters (Nonce) must be reset to zero. This nonce reset, while using the same encryption key, leads to "Nonce Reuse." This allows the attacker to decrypt packets (keystream reuse) or forge packets, bypassing the encryption layer.</t>
  </si>
  <si>
    <t>KRACK exploits the 4-way handshake by forcing a client to reinstall an already-in-use encryption key. This resets the packet number counter, allowing an attacker to replay and decrypt packets without needing the password.</t>
  </si>
  <si>
    <t>The unary minus operator in C changes a positive operand to a negative value and vice versa.</t>
  </si>
  <si>
    <t>The unary minus operator performs arithmetic negation on its operand, effectively flipping the sign of any non-zero value.</t>
  </si>
  <si>
    <t>Which of the following defenses is specifically designed to mitigate "Return-Oriented Programming" (ROP) attacks by monitoring the pattern of function returns during runtime?
A) ASLR (Address Space Layout Randomization)
B) DEP (Data Execution Prevention) / NX (No-Execute)
C) CFI (Control Flow Integrity)
D) Stack Canaries</t>
  </si>
  <si>
    <t>CFI enforces legitimate control flow paths, directly detecting abnormal return sequences used in ROP. ASLR randomizes addresses but can be bypassed; DEP prevents code execution in data regions; stack canaries protect against stack overflows but not ROP's reuse of existing code.</t>
  </si>
  <si>
    <t>In the context of database buffer management and recovery (WAL), which policy combinations are standard for modern DBMSs (like MySQL/PostgreSQL)? (Select all that apply.)
A) Steal: The DBMS allows an uncommitted transaction to overwrite a page on disk.
B) No-Steal: Pages modified by an uncommitted transaction are pinned in memory until commit.
C) Force: The DBMS forces all modified pages to disk immediately upon commit.
D) No-Force: The DBMS does NOT force dirty data pages to disk upon commit (relying on the log for durability).</t>
  </si>
  <si>
    <t>Modern DBMSs use **Steal** to allow buffer eviction of uncommitted pages for efficiency and **No-Force** to avoid synchronous disk writes on commit, relying on the Write-Ahead Log (WAL) for durability and recovery.</t>
  </si>
  <si>
    <t>The process of merging two sorted arrays of sizes n and m respectively takes O(______) time.</t>
  </si>
  <si>
    <t>n + m</t>
  </si>
  <si>
    <t>Merging two sorted arrays uses a two-pointer technique comparing the smallest remaining elements. Each element is processed exactly once, yielding O(n + m) time.</t>
  </si>
  <si>
    <t>Consider the usual algorithm for determining whether a sequence of parentheses is balanced.
What is the maximum number of parentheses that will appear on the stack AT ANY ONE TIME when the algorithm analyzes: (()(()))?
A) 1
B) 3
C) 2
D) 4</t>
  </si>
  <si>
    <t>The algorithm pushes '(' onto the stack and pops on ')'. The sequence (()(())) reaches a maximum stack depth of 3 when processing the third '(' before the inner '())' starts to resolve.</t>
  </si>
  <si>
    <t>Which of the following are true about optimization algorithms used in training machine learning models?
A) Gradient descent requires computing the gradient of the loss function.
B) Momentum methods improve convergence speed by incorporating past gradients.
C) Newton’s method is always preferred due to quadratic convergence.
D) Stochastic gradient descent (SGD) uses minibatches to approximate gradients.</t>
  </si>
  <si>
    <t>Gradient descent indeed requires the gradient (A). Momentum uses past gradients to accelerate convergence (B). SGD approximates gradients using minibatches (D). Newton's method is not always preferred due to high computational cost per iteration, making C false.</t>
  </si>
  <si>
    <t>The level at which the software uses scarce resources is ______ .
A) Reliability
B) Efficiency
C) Portability
D)  All of the above</t>
  </si>
  <si>
    <t>Efficiency directly measures how well software uses scarce resources like CPU time or memory, while reliability concerns correct operation, portability involves adaptability across environments, and not all attributes pertain to resource usage.</t>
  </si>
  <si>
    <t>Explain spiral model for software engineering development.</t>
  </si>
  <si>
    <t>Spiral model is an evolutionary model proposed by Boehm that introduced the concept of risk analysis in the earlier stages of development process. Other name of Spiral model is Risk Spiral Model. This model combines the software development life cycle with Risk Management principles to control the risks at early stage of the project. Taking the importance of a risk management process and testing process into account, the spiral model deﬁned new strategies of integrating the risk analysis at every incremental step of the lifecycle.
A spiral model encompasses the iterative steps in a spiral representation as shown in the figure. Each circle in the model denotes a succeeding level of the previous state. These are divided task regions which represents the selective process. The task regions may vary from the complexity level of different product.</t>
  </si>
  <si>
    <t>The spiral model is an iterative risk-driven approach combining prototyping and waterfall stages, emphasizing risk analysis and customer feedback at each cycle to refine requirements and design progressively.</t>
  </si>
  <si>
    <t>Explain why increasing the line length of a cache often increases its hit rate?</t>
  </si>
  <si>
    <t>Increasing the line length of a cache can increase the hit rate because of the property of locality of reference; addresses close to an address that has just been referenced are likely to be referenced in the near future. Increasing the line length increases the amount of data near the address that caused the miss that is brought into the cache on a cache miss. Since some or all of this data is likely to be accessed in the near future, bringing it into the cache eliminates the cache misses that would have occurred when the data was referenced.</t>
  </si>
  <si>
    <t>Increasing line length exploits spatial locality by fetching more adjacent data per miss, reducing future misses for sequential accesses. However, it may increase miss penalty and conflict misses if cache size is fixed.</t>
  </si>
  <si>
    <t>The MIPS architecture can use any architectural register to store the results of its test instructions</t>
  </si>
  <si>
    <t>MIPS comparison instructions (e.g., slt) store boolean results in general-purpose registers, allowing any of the 32 registers as the destination.</t>
  </si>
  <si>
    <t>Which statements about graph-based semi-supervised learning are true?
A) It constructs a graph where nodes are data points and edges encode similarity.
B) It only works when the data is already graph-structured.
C) The smoothness assumption is enforced via Laplacian regularization.
D) Solutions are found by solving a linear system involving the graph Laplacian.</t>
  </si>
  <si>
    <t>Graph-based semi-supervised learning constructs a similarity graph (A) and enforces smoothness via Laplacian regularization (C), leading to solutions from a linear system with the graph Laplacian (D). It does not require pre-existing graph structure, making B false.</t>
  </si>
  <si>
    <t>The dimensionality of the feature map generated by polynomial kernel (e.g., K(x, y) = (1 + x · y)^d is polynomial wrt the power d of the polynomial kernel.</t>
  </si>
  <si>
    <t>With fixed input dimension p, feature count is (p + d choose d), a polynomial expression in d.</t>
  </si>
  <si>
    <t>Which of the following block cipher modes of operation allow for parallelized encryption (i.e., encrypting multiple blocks simultaneously)? (Select all that apply.)
A) Electronic Codebook (ECB)
B) Cipher Block Chaining (CBC)
C) Counter Mode (CTR)
D) Output Feedback (OFB)</t>
  </si>
  <si>
    <t>ECB and CTR allow parallel encryption because each block's ciphertext is computed independently from others. CBC and OFB require sequential processing due to chaining or feedback dependencies, preventing simultaneous block encryption.</t>
  </si>
  <si>
    <t>Which traversal of a binary tree is known as NLR traversal?
A) In-order
B) Pre-order
C) Post-order
D) Level-order</t>
  </si>
  <si>
    <t>Pre-order traversal visits the root node first, then the left subtree, and finally the right subtree, which corresponds to the NLR (Node, Left, Right) order. The other traversals follow different sequences.</t>
  </si>
  <si>
    <t>A key challenge in machine learning is to avoid ____________, which occurs when a model fits the training data too well, capturing noise rather than underlying patterns, leading to poor performance on new data.</t>
  </si>
  <si>
    <t>overfitting</t>
  </si>
  <si>
    <t>Overfitting happens when a model learns the noise and specific details in the training data, reducing its ability to generalize to unseen data, which is a central problem in balancing model complexity.</t>
  </si>
  <si>
    <t>You are writing a recursive query to find all subordinates of a manager. The correct SQL statement is: `WITH RECURSIVE Hierarchy AS (SELECT id, name FROM Employees WHERE manager_id IS NULL UNION ALL SELECT e.id, e.name FROM Employees e ______ JOIN Hierarchy h ON e.manager_id = h.id) SELECT * FROM Hierarchy;`.</t>
  </si>
  <si>
    <t>INNER</t>
  </si>
  <si>
    <t>The blank requires `INNER` because the recursive part must join each employee (`e`) to their direct manager already in the hierarchy (`h`), ensuring only existing manager-subordinate relationships are followed.</t>
  </si>
  <si>
    <t>Which statements correctly describe universal approximation by neural networks? (Select all that apply.)
A) Two-layer networks can approximate any continuous function given enough nodes.
B) Deep networks can achieve the same approximation accuracy with exponentially fewer nodes than shallow networks.
C) ReLU networks require infinite layers to approximate polynomials exactly.
D) Approximation error decreases exponentially with the number of layers for ReLU networks.</t>
  </si>
  <si>
    <t>A is correct due to the universal approximation theorem for sigmoid/ReLU networks with one hidden layer. B is correct as depth can exponentially reduce nodes needed for same accuracy. C is incorrect as finite ReLU networks can exactly represent piecewise linear functions, including polynomials. D is incorrect as error bounds typically scale polynomially, not exponentially, with depth.</t>
  </si>
  <si>
    <t>Stream ciphers and OTP are malleable. Explain what this means by describing a Bit-Flipping Attack. If an attacker knows the plaintext contains "ADMIN=0" at a specific offset, how can they modify the ciphertext to decrypt to "ADMIN=1" without knowing the key?</t>
  </si>
  <si>
    <t>Malleability means changing the ciphertext produces a predictable change in the plaintext. Stream ciphers encrypt by XORing plaintext with a keystream ($C = P \oplus K$). If the attacker flips a bit in $C$ (XORs it with 1), the decryption ($P = C' \oplus K$) will flip the corresponding bit in $P$. To change "0" (ASCII 0x30) to "1" (ASCII 0x31), the attacker XORs the ciphertext byte with 0x01. The keystream remains valid, and the decryption produces the modified value.</t>
  </si>
  <si>
    <t>Malleability means ciphertext can be altered to produce predictable plaintext changes. In a stream cipher, flipping a ciphertext bit flips the corresponding plaintext bit. To change "ADMIN=0" to "ADMIN=1", the attacker flips the bit at the offset of "0", changing it to "1" in the decryption.</t>
  </si>
  <si>
    <t>Which of the following is the understanding of software product limitations, learning system related problems or changes to be done in existing systems beforehand, identifying and addressing the impact of project on organization and personnel etc?
A) Software Design
B) Feasibility Study
C) Requirement Gathering
D) System Analysis</t>
  </si>
  <si>
    <t>System analysis involves a holistic investigation of existing systems, constraints, and organizational impacts to define technical requirements. While feasibility studies assess viability, analysis deeply explores operational problems and system limitations to guide the subsequent design and implementation phases.</t>
  </si>
  <si>
    <t>Software Engineering is defined as a systematic, disciplined and quantifiable approach for the development, operation and maintenance of software.</t>
  </si>
  <si>
    <t>It aligns with the IEEE definition emphasizing systematic and quantifiable processes.</t>
  </si>
  <si>
    <t>Explain why miss rate is not a good metric for evaluating cache memory performance.</t>
  </si>
  <si>
    <t>The average access time in a cache memory system is given by: T_avg = T_hit + mT_miss
A cache memory may have low miss rate (m), but a high access time (Thit), making it have lower performance than one with a higher miss rate.</t>
  </si>
  <si>
    <t>Miss rate alone ignores access time and cost; a low miss rate may come from a large, slow cache that degrades overall performance. A satisfactory answer must mention trade-offs with hit time, cost, and alternative metrics like AMAT.</t>
  </si>
  <si>
    <t>Explain different types of Requirements with example.</t>
  </si>
  <si>
    <t>Requirements can be categorized into 3 main types: Functional (User) Requirements, Non Functional (System) Requirements, Interface Specification.
Functional (User) Requirements: The set of requirements which deﬁne what the system will do or accomplish are called functional requirements. These are the requirements which determine how the software will behave to meet certain user needs. The requirements may be for performing some calculation, data manipulation, processing, logical decision making etc. which form the basis of the business rules. Functional requirements are often captured as Use Cases. Functional requirements are the main driver for the Application Architecture of the system. An example of functional requirement is – a retail shop billing software must have the functionalities of capturing commodity prices, calculate the discounts, generate the bill, print the invoice etc.
Non Functional (System) Requirements: Functional requirements are supported by Non-functional requirements. The quality attributes and the design and architecture constraints that the system must have are called the Non-functional requirements.
Some of the quality attributes of the system from end user's vie are: Performance, availability, usability and Security.
Some of the system quality attribute from developer's view are : Reusability, testability, maintainability, portability.
Non functional (system) requirements are critical in most of the software projects than the functional requirements. Non functional Requirements cater to the architectural needs of the overall system where as functional requirements caters to the design needs of the overall system.
Non functional requirements may be related to the product or organization or the external requirements of the system.
Examples for Product related non functional requirements are : Performance, availability, maintainability, portability, reliability, security, scalability, testability, usability.
Examples for Organization related non functional requirements are : Standards requirements , Implementation requirements.
Examples for External non functional requirements are : Legal Requirements , Ethical requirements.
Example of non-functional requirements are :
'The system should be available 24X7' (Availability)
"The system should save or fetch 1000 records in 1 second' etc. (Performance)
Interface Specification: Most of the software systems don't work alone and in order to work those need to interact with other systems. They interact with many other systems to receive and send data, get help in processing logic, store information in other systems and for other reasons. The interaction requirement of one system with another is defined in the Interface specification.
This helps in building different systems in such a fashion that they can seamlessly interact with each other to produce the desired outcome. In our previous example of the retail shop billing system may interact with another system - an inventory system to make sure that the warehouse keeps track of the stock of the material at hand and the protocol of how these two systems interact with each other are captured in the interface specification document.</t>
  </si>
  <si>
    <t>A satisfactory answer must define functional and non-functional requirements, providing clear examples for each, such as user authentication for functional and system response time for non-functional, to demonstrate understanding of their distinct roles in system specification.</t>
  </si>
  <si>
    <t>Suppose p refers to a node in a linked list (using the Node class). Which Boolean expression will be true when p refers to the second node of the list?
A) p==head-&gt;next; 
B) p==head;
C) p-&gt;next == NULL;
D) None of these.</t>
  </si>
  <si>
    <t>The expression `p==head-&gt;next` is true when `p` points to the second node, as `head-&gt;next` is the address of that node. `p==head` refers to the first node, and `p-&gt;next==NULL` only holds for the last node.</t>
  </si>
  <si>
    <t>In the AES-128 Key Expansion, the Round Constant (Rcon) is XORed with the first byte of the word. For Round 1, Rcon[1] is 0x01. What is Rcon[9]?
A) 0x09
B) 0x1B
C) 0x36
D) 0x12</t>
  </si>
  <si>
    <t>Rcon values in AES-128 are derived in GF(2⁸) with the recurrence Rcon[i] = 0x02 • Rcon[i-1], starting at 0x01 for round 1. Applying this eight times yields Rcon[9] = 0x1B.</t>
  </si>
  <si>
    <t>Which of the following assertions about database normalization forms are theoretically correct? (Select all that apply.)
A) Any relation can be decomposed into BCNF while guaranteeing the Lossless Join property.
B) Any relation can be decomposed into BCNF while guaranteeing the Preservation of Dependencies.
C) 3NF allows some redundancy (transitive dependencies) if the dependency involves a prime attribute (part of a key).
D) If a relation is in BCNF, it is automatically in 3NF.</t>
  </si>
  <si>
    <t>BCNF is a stricter subset of 3NF, ensuring lossless joins but not always dependency preservation. Unlike BCNF, 3NF permits functional dependencies $X \to A$ where $A$ is prime, allowing some redundancy to ensure all dependencies are maintained during decomposition.</t>
  </si>
  <si>
    <t>The tools that support different stages of software development life cycle are called
__________ .</t>
  </si>
  <si>
    <t>CASE Tools</t>
  </si>
  <si>
    <t>Software development tools that assist in various phases such as design, coding, and testing are collectively known as CASE (Computer-Aided Software Engineering) tools, which help automate and manage the development process.</t>
  </si>
  <si>
    <t>A stack implemented using a linked list can dynamically grow and shrink during runtime.</t>
  </si>
  <si>
    <t>Linked lists allocate nodes as needed, allowing the stack to adjust its size dynamically at runtime.</t>
  </si>
  <si>
    <t>Which of the following are true about feedforward neural networks? (Select all that apply.)
A) They consist of multiple layers, each applying a linear transformation followed by an activation.
B) The final layer necessarily applies a nonlinear activation function.
C) The network parameters include weight matrices and bias vectors for each layer.
D) Activation functions can differ between layers.</t>
  </si>
  <si>
    <t>Feedforward neural networks have layers with linear transformations and activations (A), parameters include weights and biases (C), and activation functions can vary (D). The final layer may use linear activation for regression, so (B) is false.</t>
  </si>
  <si>
    <t>The assembler translates symbolic machine instructions into binary machine code in a single pass through the source code.</t>
  </si>
  <si>
    <t>Assemblers often require multiple passes to resolve forward references and symbols.</t>
  </si>
  <si>
    <t>"RSA Blinding" is a countermeasure used to prevent timing attacks by multiplying the ciphertext by a random value before decryption, thereby randomizing the time taken for the modular exponentiation operation.</t>
  </si>
  <si>
    <t>Blinding randomizes the modular exponentiation input, ensuring decryption time does not correlate with the actual ciphertext's bit patterns.</t>
  </si>
  <si>
    <t>In the context of algorithm analysis, the notation O (g(n)) represents an _ _ _ _ _ _ bound on the time complexity of a function f(n), meaning for sufficiently large n, f(n) will not grow faster than a constant multiple of g(n).</t>
  </si>
  <si>
    <t>upper</t>
  </si>
  <si>
    <t>In algorithm analysis, O(g(n)) denotes an upper bound, meaning f(n) ≤ c·g(n) for some constant c and all large n, ensuring f(n) does not exceed a constant multiple of g(n) asymptotically.</t>
  </si>
  <si>
    <t>In password storage, distinguish between a "Salt" and a "Pepper." While both add randomness, how do their storage locations and security goals differ?</t>
  </si>
  <si>
    <t>A Salt is unique per user, stored in the database alongside the hash, and primarily prevents Rainbow Table attacks and collision identification. A Pepper is a global secret key (or set of keys) stored outside the database (e.g., in an HSM or app config). The goal of a Pepper is to prevent the hashes from being cracked even if the database (and salts) is completely dumped via SQL Injection, as the attacker still lacks the secret key.</t>
  </si>
  <si>
    <t>A salt is stored with the hash to prevent rainbow table attacks, while a pepper is a secret key stored separately to add defense if the hash database is compromised, requiring both database and key access for cracking.</t>
  </si>
  <si>
    <t>Regarding multilevel cache, in a RISC-V CPU with a L1 data cache, a L1 instruction cache and a general L2 cache, only store and load instructions will cause L2 cache misses.</t>
  </si>
  <si>
    <t>Instruction fetches can also miss in L2 when not found in the L1 instruction cache.</t>
  </si>
  <si>
    <t>A project is estimated to require 64 Person-Months (PM) of effort. The manager proposes assigning 64 people to finish it in 1 month to beat a competitor. Why is this plan likely to fail based on software engineering principles? (Select all that apply.)
A) The square root check suggests a schedule closer to 64 (8 months) is optimal.
B) Manpower ramp-up typically follows a Rayleigh curve, meaning peak staffing is only needed during the "build" phase, not the start. 
C) Communication overhead between 64 people will drastically reduce productivity. 
D) The design phase inherently requires fewer people than the coding phase.</t>
  </si>
  <si>
    <t>Software tasks are not perfectly partitionable. Adding excessive manpower increases communication overhead exponentially. The Rayleigh curve and square root rule dictate that staffing must scale gradually, as initial phases like design require fewer people than subsequent implementation stages.</t>
  </si>
  <si>
    <t>The following two relational algebra expressions are equivalent (that is, they return the same answer when evaluated on any instance of the database).`π_title(σ_length≥100(Movie)) ∩π_title(σstudio=′Fox′ (Movie))`; `π_title(σ_length≥100∧studio=′Fox′ (Movie))`.</t>
  </si>
  <si>
    <t>The first expression includes movies from any studio meeting the length condition, while the second restricts to Fox only.</t>
  </si>
  <si>
    <t>Which of the following statements about label propagation are true? (Select all that apply.)
A) Label propagation iteratively updates label estimates based on neighbors’ labels.
B) The iterative process can be expressed as a matrix multiplication involving the graph adjacency matrix.
C) Labels at unlabeled nodes are fixed during propagation.
D) Label propagation minimizes an energy function combining data fidelity and smoothness.</t>
  </si>
  <si>
    <t>Label propagation iteratively updates labels via neighbor influence (A), expressible as matrix multiplication with the adjacency matrix (B), and minimizes an energy function balancing data fit and smoothness (D). Unlabeled nodes are updated, not fixed (C incorrect).</t>
  </si>
  <si>
    <t>The Station-to-Station (STS) protocol is a variant of Diffie-Hellman that adds digital signatures to the key exchange to prevent Man-in-the-Middle (MitM) attacks.</t>
  </si>
  <si>
    <t>STS adds signatures to authenticate parties and prevent MitM attacks in Diffie-Hellman.</t>
  </si>
  <si>
    <t>Explain the significance of asymptotic notations in the analysis of algorithms and how they assist in comparing algorithm efficiency.</t>
  </si>
  <si>
    <t>Asymptotic notations provide a way to describe the growth of an algorithm's running time or space requirements as input size increases, abstracting away machine-specific details. They help identify upper bounds (O notation), lower bounds (Ω notation), and tight bounds (Θ notation) on performance, allowing for meaningful comparisons of algorithms regardless of implementation or hardware. This abstraction is crucial for predicting scalability and efficiency for large inputs</t>
  </si>
  <si>
    <t>A loss function in classification problems can be defined as the negative log-likelihood of the predicted probability vector, encouraging the predicted distribution to place high probability on the true class.</t>
  </si>
  <si>
    <t>Maximizing likelihood is equivalent to minimizing negative log-likelihood, which penalizes low probability on the true class.</t>
  </si>
  <si>
    <t>Assuming no errors, which one of the following functions returns exactly once?
A) fork()
B) execve()
C) exit()
D) waitpid()</t>
  </si>
  <si>
    <t>The function `waitpid()` returns exactly once when it successfully waits for a child process to change state. In contrast, `fork()` returns twice (parent and child), `execve()` only returns on failure, and `exit()` does not return at all.</t>
  </si>
  <si>
    <t>Although Pooling layers certainly cause a loss of information between Convolutional layers, why would we add Pooling layers to our network?</t>
  </si>
  <si>
    <t>Pooling layers cause spatial dimensions to shrink and allow us to use
fewer parameters to obtain smaller and smaller hidden representations of the input.</t>
  </si>
  <si>
    <t>Pooling layers reduce spatial dimensions and computational cost while introducing translation invariance, which helps prevent overfitting and improves generalization by making the network less sensitive to small shifts in input features.</t>
  </si>
  <si>
    <t>Many supermarket customers use the yellow creamy spot on the outside of a watermelon to evaluate its level of sweetness. To help customers who aren’t aware of this fact, you decide to build an image classifier to predict whether a watermelon is sweet (label=1) or not (label=0). You’ve built your own labeled dataset, chosen a neural network architecture, and are thinking about using the mean squared error (MSE) loss to optimize model parameters. Give one reason why MSE might not be a good choice for your loss function.</t>
  </si>
  <si>
    <t>When performing binary classification, the outputs are constrained from 0 to 1. When using MSE, we place an upper bound of 1 on the loss, when intuitively it should be infinity (you are being incorrect as possible). BCE does this, and would be a more natural choice.</t>
  </si>
  <si>
    <t>MSE is unsuitable for binary classification because it assumes a continuous output, penalizing confident correct predictions excessively and leading to poor gradient behavior near decision boundaries, unlike cross-entropy which directly optimizes probability calibration.</t>
  </si>
  <si>
    <t>__________ is a technique used in file organization that uses a hierarchical index structure to provide efficient access to records on disk.</t>
  </si>
  <si>
    <t>Multi-level indexing</t>
  </si>
  <si>
    <t>Multi-level indexing organizes indices into a hierarchy, where higher-level indices point to lower-level index blocks. This structure minimizes disk I/O by significantly reducing the number of blocks read to locate a specific record in very large files.</t>
  </si>
  <si>
    <t>In Extendible Hashing, the directory size doubles when a bucket overflows and the bucket's ______ Depth is equal to the Global Depth.</t>
  </si>
  <si>
    <t>Local</t>
  </si>
  <si>
    <t>In Extendible Hashing, the directory doubles only when a bucket's Local Depth equals the Global Depth upon overflow, indicating all directory entries point to that full bucket, requiring expansion to accommodate new splits.</t>
  </si>
  <si>
    <t>A Trusted Platform Module (TPM) uses Platform Configuration Registers (PCRs) to store cryptographic hashes of the boot sequence components (BIOS, Bootloader, Kernel), and these values can be erased or overwritten by the OS administrator at any time.</t>
  </si>
  <si>
    <t>PCRs are reset on reboot and can only be extended, not directly overwritten by the OS.</t>
  </si>
  <si>
    <t>Since classification is a special case of regression, logistic regression is a special case of linear regression.</t>
  </si>
  <si>
    <t>Logistic regression models probabilities via a nonlinear link function, not a continuous outcome like linear regression.</t>
  </si>
  <si>
    <t>How does the Big O notation help in analyzing algorithms, and what are its limitations?</t>
  </si>
  <si>
    <t>Big O notation provides an upper bound on the growth rate of an algorithm's running time relative to input size, helping to compare efficiency abstractly. However, it ignores constant factors and lower-order terms, which can be significant in practice. It also does not reflect programming effort or average-case performance, focusing mainly on worst-case scenarios</t>
  </si>
  <si>
    <t>Big O notation describes an algorithm's worst-case growth rate, enabling efficiency comparisons by focusing on dominant terms as input size increases. Its limitations include ignoring constants, lower-order terms, and practical factors like hardware or average-case performance.</t>
  </si>
  <si>
    <t>In digital signature schemes like RSA or ECDSA, we virtually always sign a cryptographic hash of the message rather than the message itself. Apart from performance/size reasons, explain the cryptographic security reason for this "Hash-and-Sign" paradigm.</t>
  </si>
  <si>
    <t>Signing raw messages can expose the scheme to algebraic attacks (e.g., existential forgery) due to the mathematical structure of the data (like RSA's multiplicative property: $S(m_1) \cdot S(m_2) = S(m_1 m_2)$). Hashing destroys this algebraic structure, ensuring the input to the signing function behaves like a random number. It also prevents the recipient from being tricked into signing a malicious message that looks like random data (blind signing) but corresponds to a valid ciphertext.</t>
  </si>
  <si>
    <t>Signing a hash prevents malleability attacks, as hashing ensures a fixed-size, non-malleable input, and it breaks any algebraic structure in the message that could be exploited to forge signatures under the raw signing operation.</t>
  </si>
  <si>
    <t>Consider the linked list node structure with multiple linked pointers to maintain membership in multiple lists (multiply linked list). Which of the following is a correct statement regarding multiply linked lists?
A) They maintain only one pointer per node to the next node.
B) They allow nodes to be members of different lists simultaneously.
C) They do not support insertion or deletion operations.
D) They are equivalent to arrays in terms of memory usage.</t>
  </si>
  <si>
    <t>Multiply linked lists contain multiple pointers per node, enabling each node to belong to several distinct lists simultaneously, which is their defining characteristic. The other options incorrectly describe their structure or capabilities.</t>
  </si>
  <si>
    <t xml:space="preserve">A program repeatedly executes a loop that has 120 iterations. Each iteration takes 10,000 cycles. On multiprocessor systems, 50,000 cycles are required to synchronize the processors once all iterations of the loop have completed. The execution time of each loop on a 2-processor system is ______ cycles. </t>
  </si>
  <si>
    <t xml:space="preserve">On a two-processor system, each processor would handle 60 iterations, the base execution time is 60 iterations * 10,000 cycles = 600,000 cycles. Adding the communication time (50,000 cycles) gives an execution time of 650,000 cycles. </t>
  </si>
  <si>
    <t>What is the primary principle that governs the operation of a queue data structure?
A) First In First Out (FIFO)
B) Last In First Out (LIFO)
C) Random Access
D) Priority Based</t>
  </si>
  <si>
    <t>A queue operates on First In First Out (FIFO), ensuring the first element added is the first removed. LIFO describes a stack, random access is for arrays, and priority-based ordering is for specialized queues like priority queues.</t>
  </si>
  <si>
    <t>How often must a system poll an 1/0 device if it wants the average delay between when the device wants to make a request and the time it is polled to be at most 5 ms? If it takes 10,000 cycles to poll the 1/0 device, and the processor operates at 500 MHz, what fraction of the processor cycles are spent polling? What if the system wants to provide an average response delay of 1 ms?</t>
  </si>
  <si>
    <t>Assuming that I/O requests are evenly distributed in time, the average time that a device will have to wait for the processor to poll is half the time between polling attempts. Therefore, to provide an average delay of 5 ms, the processor will have to poll every 10 ms, or 100 times/s. If each polling attempt takes 10,000 cycles, then the processor will spend 1,000,000 cycles polling each second, or 1/500th of the available processor cycles.
To provide an average delay of 1 ms, the processor will have to poll every 2 ms, or 500 times/s. This will consume 5,000,000 cycles/s, or 1/100th of the execution cycles.</t>
  </si>
  <si>
    <t>To achieve an average delay of 5 ms, the system must poll every 10 ms, using 0.02% of cycles. For 1 ms average delay, poll every 2 ms, using 0.1% of cycles. This covers polling intervals, cycle calculation, and the trade-off between response time and processor overhead.</t>
  </si>
  <si>
    <t>In a hash table with open addressing, collisions are resolved by _______ probing, which linearly searches for the next available slot.</t>
  </si>
  <si>
    <t>linear</t>
  </si>
  <si>
    <t>In open addressing, linear probing resolves collisions by sequentially checking each subsequent slot until an empty one is found, ensuring a simple and systematic search pattern.</t>
  </si>
  <si>
    <t>Column-oriented storage systems (Column Stores) are generally preferred over Row Stores for OLTP (Online Transaction Processing) workloads because they can compress data more efficiently.</t>
  </si>
  <si>
    <t>Column stores are optimized for OLAP queries, not OLTP workloads which require frequent row-level updates.</t>
  </si>
  <si>
    <t>The level below a cache in the memory hierarchy is implemented out of page-mode DRAM that has cache lines of 8 lines long and has a first-word access time of 60 ns, and then 10 ns/word thereafter. What is the average time to fetch a line into the cache if 40 percent of all evicted write-back cache lines have been written at least once? 
A) 125ns
B) 130ns
C) 182ns
D) 221ns</t>
  </si>
  <si>
    <t>The correct answer is 182 ns because it accounts for both clean (60 + 7×10 = 130 ns) and dirty lines (130 ns + 60 ns write-back), weighted by the 40% dirty rate: 0.6×130 + 0.4×190 = 182 ns.</t>
  </si>
  <si>
    <t>Discuss how a microprogrammed control unit uses microinstructions to implement a computer instruction. Include the role of the control memory.</t>
  </si>
  <si>
    <t xml:space="preserve">In a microprogrammed control unit, each machine instruction corresponds to a sequence of microinstructions stored in control memory. When an instruction is fetched, its opcode is used to address the control memory, retrieving the first microinstruction that initiates the required microoperations. Subsequent microinstructions are executed in sequence, generating control signals to perform register transfers, ALU operations, and memory accesses. Control memory acts as a ROM of microinstructions, enabling easy updates to the control logic by modifying microcode rather than hardware </t>
  </si>
  <si>
    <t>A microprogrammed control unit stores sequences of microinstructions in control memory. Each computer instruction triggers a microprogram that issues control signals step-by-step, translating high-level operations into precise hardware actions.</t>
  </si>
  <si>
    <t>You would like to train a dog/cat image classifier using mini-batch gradient descent. You have already split your dataset into train, dev and test sets. The classes are balanced. You realize that within the training set, the images are ordered in such a way that all the dog images come first and all the cat images come after. A friend tells you: ”you absolutely need to shuﬄe your training set before the training procedure.” Is your friend right? Explain.</t>
  </si>
  <si>
    <t>Yes, there is a problem. The optimization is much harder with mini-batch gradient descent because the loss function moves by a lot when going from the one type of image to another.</t>
  </si>
  <si>
    <t>Yes, because without shuffling, each mini-batch would contain only one class, causing unstable and biased gradient updates that hinder convergence and hurt model performance.</t>
  </si>
  <si>
    <t>The space complexity of a recursive algorithm is typically proportional to the ______.</t>
  </si>
  <si>
    <t>maximum depth of recursion (or height of recursion tree)</t>
  </si>
  <si>
    <t>Each recursive call adds a new frame to the system call stack. The space complexity is governed by the maximum depth of the recursion tree, as this represents the peak number of simultaneous stack frames requiring memory during execution.</t>
  </si>
  <si>
    <t>HMAC uses two pads: ipad = 0x36 and opad = 0x5C. If the key K is all zeros (block sized), what is the first byte of the inner hash input block?
A) 0x36
B) 0x5C
C) 0x6A
D) 0x00</t>
  </si>
  <si>
    <t>In HMAC, the inner hash input begins with \( K \oplus \text{ipad} \). With \( K \) as all zeros, the first byte is simply the ipad value 0x36, as XOR with zero yields the original byte.</t>
  </si>
  <si>
    <t>In the ARIES recovery algorithm, which of the following statements about Compensation Log Records (CLRs) are true? (Select all that apply.)
A) CLRs are written during the Undo phase to log the reversal of updates.
B) CLRs are never undone (i.e., they possess the "Redo-Only" property).
C) CLRs contain an `UndoNextLSN` pointer to skip over already-undone log records.
D) CLRs are created during the Analysis phase to mark loser transactions.</t>
  </si>
  <si>
    <t>CLRs are written during Undo to log reversal (A), are never undone due to their Redo-Only property (B), and contain UndoNextLSN to skip already-undone records (C). They are not created during Analysis (D), which identifies loser transactions.</t>
  </si>
  <si>
    <t>Suppose a memory system has four banks, each of which has a latency of 100ns and is pipelined to allow 8 operations to overlap execution. If each bank returns 4 bytes of data in response to a memory request, what is the peak bandwidth of this system?
A) 160MB
B) 1,280MB
C) 320MB
D) 996MB</t>
  </si>
  <si>
    <t>Each bank processes 8 operations every 100ns, yielding 0.08 operations per ns. With four banks returning 4 bytes each, peak bandwidth is $4 \times 0.08 \times 4$ bytes per ns, equaling 1.28 GB/s or 1,280 MB/s.</t>
  </si>
  <si>
    <t>Explain how stacks are used to evaluate postfix expressions, and why stacks are particularly suited for this task.</t>
  </si>
  <si>
    <t>Stacks are used in postfix expression evaluation by scanning the expression from left to right, pushing operands onto the stack, and when an operator is encountered, popping the required number of operands, applying the operator, and pushing the result back. Stacks suit this process because they naturally support the last-in, first-out (LIFO) order needed to handle nested operations without requiring parentheses, thus simplifying expression evaluation</t>
  </si>
  <si>
    <t>Stacks process operands in LIFO order, enabling correct evaluation by storing intermediate results and applying operators to the most recent values, which matches the left-to-right, delayed-operator application of postfix notation.</t>
  </si>
  <si>
    <t>Regarding fully supervised learning, which of the following statements are true? (Select all that apply.)
A) The learned function F must exactly match all labels y_i​ for the training data.
B) The function F is typically chosen from a parameterized class, e.g., linear or neural networks.
C) Loss functions measure the discrepancy between predicted and true labels and are minimized during training.
D) Fully supervised learning requires that all data points are labeled.</t>
  </si>
  <si>
    <t>B, C, and D are correct. A is false as the goal is to approximate, not perfectly match, training labels. B and C describe standard model selection and optimization. D defines the core requirement of fully supervised learning.</t>
  </si>
  <si>
    <t>In C/C++, checking for signed integer overflow using if (a + b &lt; a) is insecure because the compiler can remove this check due to ______ Behavior.</t>
  </si>
  <si>
    <t>Undefined</t>
  </si>
  <si>
    <t>This check is insecure because signed integer overflow triggers undefined behavior, allowing the compiler to assume it never occurs and thus legally optimize away the entire overflow detection branch.</t>
  </si>
  <si>
    <t>Does the basic Two-Phase Locking (2PL) protocol (without the "Strict" or "Rigorous" property) guarantee a cascading rollback-free schedule?
A) Yes, because locks are held until the transaction commits.
B) Yes, because it ensures serializability.
C) No, because a transaction might release locks during the shrinking phase before it commits, allowing another transaction to read uncommitted data.
D) No, because 2PL does not prevent Deadlocks.</t>
  </si>
  <si>
    <t>C is correct because basic 2PL allows releasing locks before commit, so another transaction can read uncommitted data, leading to potential cascading rollback. A is wrong as locks are not held until commit; B and D confuse serializability and deadlocks with cascading rollbacks.</t>
  </si>
  <si>
    <t>If you know the noise in measuring each observation y_i is N(0,σ^2_i ), then to obtain
an optimal model using linear regression, during training you should weight each observation
A) by its variance, σ^2_i
B) by its standard deviation σ_i
C) by its inverse standard deviation, σ^{−1}_i
D) by its inverse variance, σ^{−2}_i</t>
  </si>
  <si>
    <t>In weighted least squares, the optimal weights minimize the sum of squared errors normalized by variance, so each observation's contribution is scaled by \( \sigma_i^{-2} \) to account for heteroscedastic noise, making D correct.</t>
  </si>
  <si>
    <t>What are the differences between a stack and a queue, and how do their typical applications differ?</t>
  </si>
  <si>
    <t>A stack operates on a Last-In-First-Out (LIFO) principle, where elements are added and removed from the top, useful in expression evaluation and recursion. A queue is First-In-First-Out (FIFO), where elements are added at the rear and removed from the front, suitable for scheduling and buffering tasks. Their differing order of access fits different real-world use cases</t>
  </si>
  <si>
    <t>A stack is LIFO, used for undo operations and recursion; a queue is FIFO, used for task scheduling and buffering. A satisfactory answer must contrast both structures' access patterns and provide distinct, correct examples for each.</t>
  </si>
  <si>
    <t>Universal approximation theorems guarantee that small neural networks with very few hidden nodes can approximate any Lipschitz continuous function arbitrarily well.</t>
  </si>
  <si>
    <t>Universal approximation theorems require sufficient hidden nodes, not very few.</t>
  </si>
  <si>
    <t>In machine learning, hyperparameters are tuned during the training phase by minimizing the loss function.</t>
  </si>
  <si>
    <t>Hyperparameters are set before training; model parameters are tuned by minimizing loss.</t>
  </si>
  <si>
    <t>Consider the query πA,B,C,D (R \bowtie_{A=C}S). Suppose that the projection routine is based on sorting and is smart enough to eliminate all but the desired attributes during the initial pass of the sort and also to toss out duplicate tuples on-the-fly while sorting, thus eliminating two potential extra passes. Finally, assume that you know the following: R is 10 pages long, and R tuples are 300 bytes long;  S is 100 pages long, and S tuples are 500 bytes long;  C is a key for S, and A is a key for R; The page size is 1024 bytes. Each S tuple joins with exactly one R tuple. The combined size of attributes A, B, C, and D is 450 bytes. A and B are in R and have a combined size of 200 bytes; C and D are in S. The cost of writing out the final result is ______ (enter a value) page writes.</t>
  </si>
  <si>
    <t>Because the join yields 200 tuples of 450 bytes each and each 1024-byte page holds two such tuples, writing all results consumes 200 ÷ 2 = 100 pages, thus 100 page writes.</t>
  </si>
  <si>
    <t>Which HTTP headers help protect users from Man-in-the-Middle (MitM) or Protocol Downgrade attacks? (Select all that apply.)
A) Strict-Transport-Security (HSTS).
B) Content-Security-Policy (CSP).
C) X-Content-Type-Options.
D) Set-Cookie with Secure flag.</t>
  </si>
  <si>
    <t>HSTS enforces HTTPS, preventing MitM and downgrade attacks. Secure cookies ensure transmission only over HTTPS, mitigating interception. CSP controls resource loading but does not prevent connection attacks, and X-Content-Type-Options prevents MIME sniffing, unrelated to MitM.</t>
  </si>
  <si>
    <t>In a priority queue implemented using a __________, the element with the highest priority is always at the root, enabling efficient access and removal.</t>
  </si>
  <si>
    <t>binary heap</t>
  </si>
  <si>
    <t>A binary heap maintains a complete binary tree where each node's priority is greater than or equal to its children's, ensuring the highest-priority element is always at the root for O(1) access and O(log n) removal.</t>
  </si>
  <si>
    <t>A ________________ is a digital logic family known for low power consumption and high integration density, commonly used in VLSI devices.</t>
  </si>
  <si>
    <t>CMOS (or Complementary Metal-Oxide Semiconductor)</t>
  </si>
  <si>
    <t>CMOS technology utilizes complementary pairs of p-type and n-type MOSFETs to ensure that current flows only during switching states. This characteristic minimizes static power dissipation, facilitating the high integration density essential for modern VLSI circuit design and mobile electronics.</t>
  </si>
  <si>
    <t>Which of the following are advantages of using kernel PCA over classical PCA? (Select all that apply.)
A) Kernel PCA can capture nonlinear relationships in data.
B) Kernel PCA requires explicit computation of feature maps.
C) Kernel PCA uses kernels to implicitly map data to higher dimensions.
D) Kernel PCA is applicable only to supervised learning problems.</t>
  </si>
  <si>
    <t>Kernel PCA uses kernels to implicitly map data to higher dimensions, enabling it to capture nonlinear relationships, which classical PCA cannot. It does not require explicit feature maps and is applicable to unsupervised learning.</t>
  </si>
  <si>
    <t>The unsupervised learning algorithm optimizes the expected complete log-likelihood. Why is that
a reasonable choice for the objective function?</t>
  </si>
  <si>
    <t>The expected complete log-likelihood is a lower bound to the complete log-likelihood.
It is guaranteed to converge to a local optimum of the complete likelihood. Hence it is a reasonable choice for the objective function.</t>
  </si>
  <si>
    <t>Maximizing the expected complete log-likelihood is reasonable because it directly links to maximizing the observed data likelihood, which is the core statistical goal, while handling latent variables via the E-step's posterior distribution.</t>
  </si>
  <si>
    <t>Which statements correctly describe the smoothness assumption in semi-supervised learning?
A) Label predictions vary smoothly over dense regions of data.
B) Abrupt label changes in high-density regions violate the smoothness assumption.
C) Smoothness is enforced by minimizing Dirichlet energy over graphs.
D) The smoothness assumption holds only if all nodes are labeled.</t>
  </si>
  <si>
    <t>The smoothness assumption posits that labels vary gradually in dense regions, making A and B correct. C is correct as Dirichlet energy minimization enforces this. D is incorrect because smoothness applies regardless of labeling status.</t>
  </si>
  <si>
    <t>The set of View Serializable schedules is a strict subset of Conflict Serializable schedules.</t>
  </si>
  <si>
    <t>View serializable schedules include some that are not conflict serializable.</t>
  </si>
  <si>
    <t>Which of the following statements about time complexity notations are correct? (Select all that apply.)
A) Big O notation gives an upper bound on the running time of an algorithm.
B) Little o notation provides a non-tight upper bound on the running time.
C) Omega (Ω) notation gives a tight lower bound on the running time.
D) Theta (Θ) notation provides an asymptotically tight bound (both upper and lower) on the running time.</t>
  </si>
  <si>
    <t>Big O gives an upper bound, so A is correct. Theta provides a tight bound (both upper and lower), so D is correct. Omega gives a lower bound, not necessarily tight, so C is incorrect. Little o is a strict upper bound, not a "non-tight" one, so B is incorrect.</t>
  </si>
  <si>
    <t>You are training a standard GAN, and at the end of the first epoch you take note of the values of the generator and discriminator losses. At the end of epoch 100, the values of the loss functions are approximately the same as they were at the end of the first epoch. Why are the quality of generated images at epoch 1 and epoch 100 not necessarily similar?</t>
  </si>
  <si>
    <t>You should not necessarily expect them to be the same since the losses are with respect to diﬀerent quality models over time. That is, the loss of the generator at epochs 1 and 100 are with respect to a discriminator which might have significantly improved, and the same follows for the loss of the discriminator.</t>
  </si>
  <si>
    <t>The loss values alone do not reflect distributional convergence; the generator and discriminator may have improved in tandem, reaching a more sophisticated equilibrium where the generator produces higher-fidelity images despite similar loss magnitudes.</t>
  </si>
  <si>
    <t>Consider a univariate regression \ˆ{y} = wx where w ∈R, and x∈R^(1×m). The cost function is the squared-error cost J = 1/m ∥ \ˆ{y} − y ∥^2. Which of the following equations is true?
A) ∂J/∂w = 1/m(\^{y} - y)x^T
B) ∂J/∂w = 1/m(\^{y} - y)x
C) ∂J/∂w = 2/m(\^{y} - y)x^T
D) ∂J/∂w = 2/m(\^{y} - y)x</t>
  </si>
  <si>
    <t>The correct gradient is ∂J/∂w = (2/m)∑(ŷ_i - y_i)x_i, which in vector form is (2/m)(ŷ - y)xᵀ. Option C matches this, while A and B omit the factor 2, and D uses x instead of the required transpose xᵀ for proper dimensionality.</t>
  </si>
  <si>
    <t>Give an example of an address whose value would be stored in the same set as address 0x123456, but not as part of the same cache block in the L1 cache.</t>
  </si>
  <si>
    <t>Anything with last set bits match are the same as 0x12 34 56 and diﬀerent tag so almost anything with 34 in the middle and a diﬀerent beginning (plus some variations)</t>
  </si>
  <si>
    <t>An address with the same index bits as 0x123456 but different offset bits, such as 0x12345A, maps to the same cache set but a different block, demonstrating understanding of cache addressing and block alignment.</t>
  </si>
  <si>
    <t>Consider the following scenario: Emp(\underline{eid: integer}, sal: integer, age: real, did: integer); Dept(\underline{did: integer, projid: integer}, budget: real, status: char(10)); Proj(\underline{projid: integer}, code: integer, report: varchar). Assume that each Emp record is 20 bytes long, each Dept record is 40 bytes long, and each Proj record is 2000 bytes long on average. There are 20,000 tuples in Emp, 5000 tuples in Dept (note that did is not a key), and 1000 tuples in Proj. Each department, identified by did, has 10 projects on average. The file system supports 4000 byte pages, and 12 buﬀer pages are available. All following questions are based on this information. You can assume uniform distribution of values. State any additional assumptions. The cost metric to use is the number of page I/Os. Ignore the cost of writing out the final result. Consider the following query: “Find all employees with age &gt; 30.” Assume that there is an unclustered index on age. Let the number of qualifying tuples be N. For what values of N is a sequential scan cheaper than using the index?</t>
  </si>
  <si>
    <t>The Emp relation occupies 100 pages. For an unclustered index retrieving N tuples requires N page I/Os. If more than 100 tuples match, the cost of fetching Emp tuples by following pointers in the index data entries exceeds the cost of sequential scan. Using the index also involves about 2 I/Os to get to the right leaf page, and the cost of fetching leaf pages that contain qualifying data entries; this makes scan better than the index with fewer than 100 matches.)</t>
  </si>
  <si>
    <t>A sequential scan is cheaper when N exceeds 2000, as scanning all 100 Emp pages costs less than the index's cost of fetching N qualifying tuples from 20,000 total, each requiring a separate page access.</t>
  </si>
  <si>
    <t>A sparse matrix is an application of arrays where most of its elements are zero.</t>
  </si>
  <si>
    <t>Sparse matrices store only non-zero elements to optimize memory and computational efficiency.</t>
  </si>
  <si>
    <t>Explain the mechanics of the JWT "Key Confusion" (or Algorithm Confusion) attack. How does an attacker exploit a server that supports both HS256 (HMAC) and RS256 (RSA) to forge a token?</t>
  </si>
  <si>
    <t>In this attack, the attacker changes the JWT header algorithm from RS256 to HS256. They then sign the token using the server's Public Key as the HMAC secret. If the server implementation creates the verifier based on the header's alg field, it will switch to HMAC verification but use its configured verification key (the Public Key) as the shared secret. Since the Public Key is known to the attacker, they can generate a valid HMAC signature that the server accepts.</t>
  </si>
  <si>
    <t>A satisfactory answer must explain that the attacker modifies the token header to specify the HS256 algorithm, then signs it with the public RSA key, which the server mistakenly uses as an HMAC secret key for verification, leading to token forgery.</t>
  </si>
  <si>
    <t>In a risk-based approach the risks identified may be used to: (Select all that apply.)
A) Determine the test technique to be employed
B) Determine the extent of testing to be carried out
C) Prioritize testing in an attempt to find critical defects as early as possible.
D) Determine the cost of the project</t>
  </si>
  <si>
    <t>Risk assessment identifies high-impact areas to guide the selection of rigorous techniques, testing depth, and execution priority for defect discovery. Statement D is incorrect because project cost is primarily determined by scope, resources, and schedule rather than risk-based test allocation.</t>
  </si>
  <si>
    <t>Which of the following tools would you first use to debug an application which is exiting with a
glibc error: double free detected?
A) gdb
B) strace
C) wireshark
D) valgrind</t>
  </si>
  <si>
    <t>Valgrind's Memcheck tool directly detects memory management errors like double frees by instrumenting the program, while gdb requires a crash, strace shows system calls, and Wireshark is for network traffic.</t>
  </si>
  <si>
    <t>The _______ linked list is a variant where each node contains multiple elements to increase cache performance and reduce pointer overhead.</t>
  </si>
  <si>
    <t>unrolled</t>
  </si>
  <si>
    <t>An unrolled linked list stores multiple data elements per node, reducing the number of pointer traversals and improving spatial locality, which enhances cache performance and decreases memory overhead from excessive pointers.</t>
  </si>
  <si>
    <t>An n-bit microprocessor has n-bit ______ register.</t>
  </si>
  <si>
    <t>instruction</t>
  </si>
  <si>
    <t>In an n-bit microprocessor, the instruction register is designed to match the word size or the width of the data bus to hold instructions fetched from memory. This ensures the processor can process the architecture's native bit-width efficiently.</t>
  </si>
  <si>
    <t>As the CEO of an autonomous driving company Potato Inc., you are trying to build a pipeline to predict a car’s steering angle θ ∈ [−1,1] from an input image.  After setting up a camera on the hood of your car, an expert driver in your team has collected the dataset Xin a city where most roads are straight. She always drives in the center of the lane. Without collecting new data, how can you help your model generalize to real world data? Describe the details of how you would implement the approach.</t>
  </si>
  <si>
    <t>Data augmentation. Slight left and right translations of the images, with a corresponding change in steering angle. For example, if you translate an image to the right, add some small quantity ϵ to the steering angle (if positive implies steering to the left), so that you’re now steering to the left.</t>
  </si>
  <si>
    <t>To improve generalization, apply data augmentation techniques such as random cropping, flipping, and brightness adjustments to the existing images, simulating varied driving conditions and road curvatures without needing new data collection.</t>
  </si>
  <si>
    <t>WPA3 replaces the WPA2 4-Way Handshake's reliance on a pre-shared key with a protocol called Simultaneous Authentication of Equals (SAE), which is based on the ______ Key Exchange method.</t>
  </si>
  <si>
    <t>Dragonfly</t>
  </si>
  <si>
    <t>WPA3's SAE protocol uses the Dragonfly Key Exchange method, which replaces the pre-shared key with a password-authenticated key agreement, providing stronger security against offline dictionary attacks.</t>
  </si>
  <si>
    <t>You are reviewing an implementation of AES-GCM. Which of the following scenarios would lead to a catastrophic failure of the cryptographic guarantees (loss of confidentiality and/or integrity)? (Select all that apply.)
A) The 96-bit IV is repeated for two different messages encrypted with the same key.
B) The 96-bit IV is generated using a simple counter starting from 0.
C) The authentication tag is truncated to 64 bits.
D) The 128-bit key is used to encrypt more than $2^{32}$ blocks of data.</t>
  </si>
  <si>
    <t>Repeating a nonce in GCM allows an attacker to recover the authentication key via the "forbidden attack." Additionally, exceeding $2^{32}$ blocks compromises security due to counter-mode birthday bounds, whereas sequential IVs are safe if unique.</t>
  </si>
  <si>
    <t>Discuss key steps for Software Configuration Management (SCM).</t>
  </si>
  <si>
    <t>Software Configuration Management has four key steps that must be defined for each software project to ensure a good SCM process is implemented. These are Configuration Identification, Configuration Control, Configuration Status Accounting, Configuration Authentication.
Configuration Identiﬁcation: Software is usually made up of several programs. Each program, its related documentation and data is termed as a "conﬁgurable item" (CI). The number of CI in any software project and the grouping of artifacts that make up a CI is a decision made by the project team.
Conﬁguration Control: The process of coordinating the approved changes for the proposed CIs and implementing the changes on the appropriate baseline are called Configuration control.
Conﬁguration Status Accounting: Conﬁguration status accounting is the book keeping process of each release. This procedure involves tracking what is in each version of software and the changes that lead to this version. Conﬁguration status accounting keeps a record of all the changes made to the previous baseline to reach a new baseline.
Configuration Authentication: Conﬁguration authentication (CA) is the process of assuring that the new baseline has incorporated all the planned and approved changes. The process involves verifying that all the functional aspects of the software are complete and it also verifies whether the delivery is complete in terms of the right programs, documentation and data being delivered. The conﬁguration authentication is an audit which is performed on the delivery before it is opened to the entire world.</t>
  </si>
  <si>
    <t>A satisfactory answer must cover core SCM activities: version control, change management, build/release management, and status accounting, explaining their purpose in maintaining software integrity and enabling team collaboration throughout the development lifecycle.</t>
  </si>
  <si>
    <t>The X-Frame-Options header with the value DENY prevents the page from being displayed in a frame or iframe, regardless of the site attempting to frame it.</t>
  </si>
  <si>
    <t>The DENY value blocks all framing, making the statement true.</t>
  </si>
  <si>
    <t>The binary algebraic theorem that allows the complement of a function 
F = AB + C′D′+B′D to be expressed by changing all AND operations to OR operations, all OR operations to AND operations, and complementing each variable individually is known as ______.</t>
  </si>
  <si>
    <t>DeMorgan's theorem</t>
  </si>
  <si>
    <t>DeMorgan's theorem provides duality: complement of a sum-of-products becomes product-of-sums with complemented variables. It enables systematic complementation without altering the expression's logic.</t>
  </si>
  <si>
    <t>Consider the following sequence of 16 bits: 1000 0011 1110 0000. These bits can be interpreted in many different ways. (Tips: The powers of 2 from 20 to 216 are as follows: 1, 2, 4, 8, 16, 32, 64, 128, 256, 512, 1024, 2048, 4096, 8192, 16384, 32768 and 65536.) If we interpret these bits as a 16-bit 2’s complement integer, the decimal value represented by the bit sequence is ______.</t>
  </si>
  <si>
    <t>−31776</t>
  </si>
  <si>
    <t>Since the most significant bit is 1, the number is negative. The decimal value is calculated by subtracting $2^{15}$ (32768) from the sum of the remaining set bits ($2^9+2^8+2^7+2^6+2^5 = 992$), resulting in -31776.</t>
  </si>
  <si>
    <t>Explain how hardware interrupts are utilized in implementing multitasking and process
management.</t>
  </si>
  <si>
    <t>For implementing multitasking, there has to be provision for stopping a user program, that is after it has run a quantum of time, so that the operating system can take control. In systems that implement multitasking, a hardware timer periodically sends hardware interrupts to the processor.</t>
  </si>
  <si>
    <t>Hardware interrupts enable preemptive multitasking by allowing the CPU to pause a running process, save its state, and switch to a higher-priority task or scheduler, which then manages process queues and resource allocation.</t>
  </si>
  <si>
    <t>The matrix L=D−W, where D is the degree matrix and W is the adjacency matrix, is called the ____________ matrix of a graph.</t>
  </si>
  <si>
    <t>Laplacian</t>
  </si>
  <si>
    <t>The Laplacian matrix L = D - W encodes graph connectivity and degree information. Its eigenvalues reveal structural properties, making it essential in spectral clustering and graph partitioning.</t>
  </si>
  <si>
    <t xml:space="preserve">You are searching for all users whose email address ends with ".edu". The correct SQL query is `SELECT * FROM Users WHERE email ______ '%.edu';`. </t>
  </si>
  <si>
    <t>LIKE</t>
  </si>
  <si>
    <t>Use `LIKE` because the `%` wildcard matches any sequence of characters, allowing the query to find email addresses ending with ".edu" by pattern matching.</t>
  </si>
  <si>
    <t>The total number of nodes in a complete binary tree of height h is ______.</t>
  </si>
  <si>
    <t>2^(h+1) – 1</t>
  </si>
  <si>
    <t>A complete binary tree of height h has all levels filled. Level i contributes 2^i nodes. Summing from i=0 to h gives geometric series total 2^(h+1) - 1 nodes.</t>
  </si>
  <si>
    <t>Number of clauses used in ISO 9001 to specify quality system requirements are _____ .
A) 15
B) 20
C) 25
D) 28</t>
  </si>
  <si>
    <t>The ISO 9001:1994 standard historically defined twenty specific quality system clauses that organizations had to implement for certification. While newer versions use a high-level structure, twenty remains the classic academic benchmark for specific requirement categories in quality management.</t>
  </si>
  <si>
    <t>When estimating the selectivity of a predicate involving multiple attributes (e.g., WHERE age = 20 AND city = 'NY'), most simple query optimizers make the ______ Assumption, which often leads to severe underestimation of row counts when columns are correlated.</t>
  </si>
  <si>
    <t>Independence</t>
  </si>
  <si>
    <t>Most simple query optimizers assume attributes are statistically independent, multiplying individual selectivities, which fails when columns are correlated, leading to underestimated row counts.</t>
  </si>
  <si>
    <t>In an M-way search tree of degree M, which of the following statements is TRUE?
A) Every internal node must have exactly M children.
B) Each node contains exactly M keys.
C) A node can have anywhere from 1 to M−1 keys and 0 to i+1 subtrees where i is the number of keys.
D) The degree M is always equal to 2.</t>
  </si>
  <si>
    <t>In an M-way search tree, each node can have between 1 and M−1 keys, and the number of subtrees for a node is one more than its number of keys, making C correct. The other options impose incorrect fixed constraints.</t>
  </si>
  <si>
    <t>The Markov Blanket of a node x in a graph with vertex set X is the smallest set Z such that x ⊥ X/{Z ∪ x}|Z.</t>
  </si>
  <si>
    <t>The Markov Blanket is the minimal set rendering a node conditionally independent of all other nodes in the network.</t>
  </si>
  <si>
    <t>The Spectre vulnerability exploits which processor feature to leak memory across security boundaries?
A) Out-of-order execution
B) Speculative execution
C) Kernel Page Table Isolation (KPTI)
D) Rowhammer</t>
  </si>
  <si>
    <t>Spectre exploits speculative execution, where processors speculatively execute instructions based on predicted branches, leaving traces that can be accessed to leak data. The other options are either unrelated or mitigation techniques, not the exploited feature.</t>
  </si>
  <si>
    <t>In the classic five-stage pipeline for a RISC-V processor, at most one cache miss may happen to an arithmetic instruction.</t>
  </si>
  <si>
    <t>Arithmetic instructions only access memory during the instruction fetch stage, as they do not perform data memory operations.</t>
  </si>
  <si>
    <t>Given that $H(m)$ is a Merkle-Damgård hash function (like SHA-256), explain how an attacker who knows $H(s || m)$ and the length of $s || m$ can compute $H(s || m || p || m')$ without knowing the secret $s$. Why does this make $H(s || m)$ insecure for message authentication?</t>
  </si>
  <si>
    <t>Merkle-Damgård functions output their full internal state as the hash. An attacker can initialize their own hash calculation using the captured hash $H(s || m)$ as the starting state vector. They then append the standard padding ($p$) that would have been generated for the original message, followed by their own data ($m'$). The resulting hash is valid for the payload $s || m || p || m'$. This allows signature forgery, proving that simple hashing is insufficient for MACs (HMAC must be used instead).</t>
  </si>
  <si>
    <t>The attacker can extend the hash by appending $p$ and $m'$ using the Merkle-Damgård construction's iterative process, where the final state of $H(s||m)$ serves as the new IV. This violates unforgeability, as anyone can forge valid MACs for extended messages without the secret.</t>
  </si>
  <si>
    <t xml:space="preserve">A ______ Inspection Firewall tracks the state of active connections (e.g., TCP handshakes) and only allows incoming packets if they match an established </t>
  </si>
  <si>
    <t>Stateful</t>
  </si>
  <si>
    <t>A stateful inspection firewall monitors active connections and their states, allowing only incoming packets that correspond to an established session, thereby enhancing security by filtering based on connection context rather than just individual packets.</t>
  </si>
  <si>
    <t>Which of the following statements accurately describe the characteristics of the Arithmetic Logic Shift Unit (ALU)? (Select all that apply.)
A) The input carry (Cin) affects shift operations as well as arithmetic operations.
B) The ALU can execute 14 distinct operations including arithmetic, logic, and shift.
C) The ALU requires separate multiplexers for arithmetic and logic outputs before selecting the final output.
D) The ALU performs arithmetic, logic, and shift operations controlled by selection variables.</t>
  </si>
  <si>
    <t>The ALU integrates arithmetic, logic, and shift functions using selection variables and cascading multiplexers to isolate distinct operation sets. Cin only impacts arithmetic logic, not independent shift operations. Typical designs support fourteen operations through specific control signal combinations.</t>
  </si>
  <si>
    <t>RAID 10 (RAID 1+0) provides better write performance than RAID 5 for random I/O workloads.</t>
  </si>
  <si>
    <t>RAID 10 writes directly to mirrored pairs without parity calculation, reducing latency for random writes.</t>
  </si>
  <si>
    <t>Semi-supervised learning always learns a general classification function that can be applied to any new data point without retraining.</t>
  </si>
  <si>
    <t>Semi-supervised learning models are fixed after training and cannot adapt to new data without being retrained.</t>
  </si>
  <si>
    <t>Which of the following statements correctly differentiates arrays and linked lists?
A) Arrays allow dynamic memory allocation; linked lists do not.
B) Arrays store elements in non-contiguous memory locations; linked lists store contiguously.
C) Linked lists allow sequential access only; arrays allow random access.
D) Linked lists cannot be used to implement other data structures, arrays can.</t>
  </si>
  <si>
    <t>C is correct because linked lists require sequential traversal to access elements, while arrays support direct indexing. A is false as linked lists are dynamic; B reverses memory allocation; D is incorrect since both can implement other structures.</t>
  </si>
  <si>
    <t>Consider running the perceptron algorithm for an online binary classification task. Recall that on each round t, the algorithm receives an instance xt and uses the current weight vector w_t to predict \widehat{y}_t = sign(w^⊤_t*x_t); it then receives the true label y_t, and if it made a mistake, it updates the weight vector as w_{t+1} ← w_t + y_t*x_t. Suppose that on a particular round t, the algorithm predicts \widehat{y}_t =−1 and receives the true label y_t = +1. Assume x_t  ̸= 0. In this case, after updating the weight vector, it is guaranteed that:
A) w^⊤_{t+1}x_t &gt; w^⊤_t*x_t
B) w^⊤_{t+1}x_t &lt; w^⊤_t*x_t
C) w^⊤_{t+1}x_t &gt; 0
D) w^⊤_{t+1}x_t &lt; 0</t>
  </si>
  <si>
    <t>The update $w_{t+1} = w_t + x_t$ implies $w_{t+1}^\top x_t = w_t^\top x_t + \|x_t\|^2$. Since $\|x_t\|^2 &gt; 0$, the new projection is strictly greater than the old one. Correct classification is not guaranteed in one step, making C and D incorrect.</t>
  </si>
  <si>
    <t>The convergence rate of gradient descent on a strongly convex function with Lipschitz continuous gradient is geometric and depends on the function’s ____________ constant.</t>
  </si>
  <si>
    <t>strong convexity</t>
  </si>
  <si>
    <t>The strong convexity constant, alongside the Lipschitz constant, determines the condition number of the function. This ratio dictates the geometric convergence rate, as higher strong convexity ensures the function is sufficiently curved to allow faster progress toward the optimum.</t>
  </si>
  <si>
    <t>The graph embedding method known as ____________ utilizes the eigenvalues and eigenvectors of the graph Laplacian to embed nodes into a low-dimensional Euclidean space.</t>
  </si>
  <si>
    <t>spectral embedding</t>
  </si>
  <si>
    <t>Spectral embedding leverages the eigenvectors of the graph Laplacian to map nodes into a lower-dimensional space while preserving local neighborhood relationships. By using these spectral properties, it effectively represents the graph's manifold structure for downstream tasks like clustering.</t>
  </si>
  <si>
    <t>In a doubly linked list, each node has two links: one to the predecessor and one to the successor node, which significantly improves deletion efficiency compared to singly linked lists.</t>
  </si>
  <si>
    <t>Direct access to predecessors allows node removal in O(1) time without needing a linear search to find the previous node.</t>
  </si>
  <si>
    <t>In a priority queue implemented with multiple circular queues, elements with higher priority are stored in the queue with the _______ priority number.</t>
  </si>
  <si>
    <t>lower</t>
  </si>
  <si>
    <t>In a priority queue, higher priority corresponds to a lower priority number, so elements are stored in the queue with the smallest number to ensure they are dequeued first.</t>
  </si>
  <si>
    <t>What is the primary characteristic that distinguishes a linked list from an array in terms of memory management?
A) Linked lists store elements contiguously in memory.
B) Arrays use pointers to connect elements.
C) Arrays are more efficient for insertions and deletions in the middle.
D) Linked lists allow dynamic memory allocation and deallocation of individual nodes.</t>
  </si>
  <si>
    <t>D is correct because linked lists allocate nodes dynamically, allowing flexible memory use. A is false: arrays are contiguous, not linked lists. B is false: linked lists use pointers, not arrays. C is false: linked lists are more efficient for insertions/deletions.</t>
  </si>
  <si>
    <t>In C/C++, an "Integer Overflow" on an unsigned int leads to Undefined Behavior (UB) according to the language standard, allowing the compiler to optimize away checks.</t>
  </si>
  <si>
    <t>Unsigned integer overflow is well-defined as wrap-around modulo 2ⁿ, not UB, so checks cannot be optimized away.</t>
  </si>
  <si>
    <t>What is the primary purpose of a k-d tree?
A) To store data in a linked list form
B) To organize points in k-dimensional space for efficient searches
C) To implement priority queues
D) To perform hashing efficiently</t>
  </si>
  <si>
    <t>A k-d tree partitions k-dimensional space to enable fast nearest-neighbor and range searches, directly supporting spatial queries. The other options describe unrelated data structures: linked lists, priority queues, and hash tables.</t>
  </si>
  <si>
    <t>The time complexity of searching in a sorted array using binary search is O(log n) in the worst case.</t>
  </si>
  <si>
    <t>Binary search halves the search space each step, requiring at most log₂(n) comparisons.</t>
  </si>
  <si>
    <t>Inserting a new node in a doubly linked list requires updating two pointers per node insertion for the nodes inside the list.</t>
  </si>
  <si>
    <t>Both next and previous pointers from the original nodes must be updated in doubly linked lists.</t>
  </si>
  <si>
    <t>You are using AES-CTR with a 128-bit counter block. The nonce is 96 bits, and the counter is 32 bits starting at 1. What is the input for the block immediately following block 2^32?
A) Nonce || 0...00 (Counter wraps to 0)
B) (Nonce + 1) || 0...00 (Nonce increments)
C) Nonce || 0...01 (Error, max blocks exceeded)
D) The system is undefined as CTR mode is only safe up to 2^32 blocks.</t>
  </si>
  <si>
    <t>In AES-CTR, the counter increments sequentially; after \(2^{32}\) blocks, the 32-bit counter wraps to zero, while the 96-bit nonce remains unchanged, so the input is nonce concatenated with all-zero counter bits.</t>
  </si>
  <si>
    <t>In the "Wait-Die" deadlock prevention scheme, if an older transaction requests a lock held by a younger transaction, the older transaction is aborted (killed) to prevent a cycle.</t>
  </si>
  <si>
    <t>In Wait-Die, the older transaction waits; the younger one is aborted if it requests a lock held by an older transaction.</t>
  </si>
  <si>
    <t>A major disadvantage of the standard Two-Phase Commit (2PC) protocol is that it is a ______ protocol; if the Coordinator fails while a Participant is in the "Ready" state, the Participant must hold its locks indefinitely.</t>
  </si>
  <si>
    <t>blocking</t>
  </si>
  <si>
    <t>The protocol is blocking because a participant in the "Ready" state cannot unilaterally decide to commit or abort after a coordinator failure; it must wait for a decision, forcing it to hold locks and resources.</t>
  </si>
  <si>
    <t>Which of the following is an advantage of end-to-end learning? (Select all that apply.)
A) It usually requires less data.
B) It doesn’t need hand crafted features.
C) It generally leads to lower bias.
D) None of the above</t>
  </si>
  <si>
    <t>End-to-end learning maps inputs directly to outputs, removing the need for manual feature engineering. By allowing the model to learn optimal representations from raw data, it reduces human-imposed bias, though it typically requires significantly more data than modular pipelines.</t>
  </si>
  <si>
    <t>To prevent Cascading Aborts (where the abort of one transaction forces the rollback of dependent transactions), the ______ 2PL protocol requires that all exclusive locks be held until the transaction commits.</t>
  </si>
  <si>
    <t>Strict</t>
  </si>
  <si>
    <t>Strict 2PL prevents cascading aborts by requiring transactions to hold all exclusive locks until commit, ensuring no other transaction can read uncommitted data that might later be rolled back.</t>
  </si>
  <si>
    <t>PCA can be formulated as an optimization problem that finds the (orthogonal) directions of maximum covariance of a set of observations X.</t>
  </si>
  <si>
    <t>PCA identifies principal components by maximizing the variance of projected data, which corresponds to the directions of maximum covariance.</t>
  </si>
  <si>
    <t>Describe the concept of algorithm efficiency and how nested loops impact time complexity.</t>
  </si>
  <si>
    <t>Algorithm efficiency refers to the running time or space usage relative to input size. Nested loops multiply the number of iterations, causing polynomial growth in running time. For example, when an outer loop runs n times and an inner loop runs n times for each outer iteration, the total time is proportional to n squared. If the inner loop depends on the outer loop variable, the complexity is still quadratic but with fewer total iterations</t>
  </si>
  <si>
    <t>Algorithm efficiency measures how runtime grows with input size. Nested loops multiply iterations, often leading to polynomial time complexities like O(n²), where runtime increases quadratically as input size grows.</t>
  </si>
  <si>
    <t>For classification neural networks, which loss function properties are true? (Select all that apply.)
A) Negative log likelihood loss is commonly used for multi-class classification.
B) Softmax converts raw network outputs into probability distributions.
C) The loss function is minimized by scaling the outputs to large values only.
D) Cross-entropy loss encourages the predicted distribution to match the true labels.</t>
  </si>
  <si>
    <t>Softmax normalizes logits into probabilities, while cross-entropy and negative log likelihood quantify the divergence from true labels. Minimization requires specific relative logit differences to align distributions, not merely scaling all outputs to large values, which is numerically unstable.</t>
  </si>
  <si>
    <t>In a synchronous sequential circuit, the state of flip-flops can change at any random time depending on the input signals.</t>
  </si>
  <si>
    <t>Synchronous circuits change state only at specific clock edges, not randomly with inputs.</t>
  </si>
  <si>
    <t>In a linked list, deletion of a node automatically frees the memory occupied by that node.</t>
  </si>
  <si>
    <t>Deletion in a linked list only removes the node from the list; explicit deallocation (e.g., free() in C) is required to free the memory.</t>
  </si>
  <si>
    <t>What is the function of the TLB?
A) Caches data
B) Caches instructions
C) Caches translation of virtual addresses
D) Translates physical addresses to virtual addresses</t>
  </si>
  <si>
    <t>The TLB caches recent virtual-to-physical address translations to speed up memory access. It does not cache data or instructions, nor does it perform the reverse translation from physical to virtual addresses.</t>
  </si>
  <si>
    <t>Which of the following statements are true about hashing and collision resolution? (Select all that apply.)
A) Linear probing suffers from primary clustering, causing performance degradation.
B) Quadratic probing eliminates both primary and secondary clustering.
C) Double hashing uses two hash functions to reduce clustering effects.
D) Chaining stores multiple elements at the same index using linked lists.</t>
  </si>
  <si>
    <t>Linear probing causes primary clustering as consecutive filled slots form blocks, degrading performance. Quadratic probing reduces primary but not secondary clustering. Double hashing uses two functions to minimize clustering. Chaining handles collisions via linked lists at each index.</t>
  </si>
  <si>
    <t>Setting the SameSite cookie attribute to Lax provides complete protection against all forms of Cross-Site Request Forgery (CSRF) attacks.</t>
  </si>
  <si>
    <t>Lax still allows unsafe top-level GET requests, leaving some CSRF attack vectors open.</t>
  </si>
  <si>
    <t>The logical OR operation cannot be directly implemented using only the AND and complement operations.</t>
  </si>
  <si>
    <t>AND and complement can construct NAND, which is functionally complete and thus can implement OR.</t>
  </si>
  <si>
    <t>As CPU cache is a fast but small buffer for main memory in computer architecture, to keep duplicate copies of the same cache line across multi-level cache hierarchy is a waste of such valuable hardware resource and not supported.</t>
  </si>
  <si>
    <t>Duplicate copies across cache levels are often used to reduce access latency and improve performance.</t>
  </si>
  <si>
    <t>What is the "Hash-and-Sign" paradigm in digital signatures (like RSA-PSS or ECDSA), and why is it used instead of signing the message directly?
A) It allows the signature to be reversible to recover the message.
B) It ensures the signature length is fixed and small, regardless of message size, and prevents algebraic attacks on the raw message structure.
C) It encrypts the message using the private key to ensure confidentiality.
D) It allows the signature to be verified without the public key.</t>
  </si>
  <si>
    <t>The hash-and-sign paradigm first hashes the message, producing a fixed-size digest that is then signed. This ensures a constant, small signature size and breaks any algebraic structure in the original message, preventing attacks that exploit it.</t>
  </si>
  <si>
    <t>Which of the following statements about sorting algorithms are true? (Select all that apply.)
A) Quick sort always performs better than merge sort in all cases.
B) Bubble sort has a worst-case time complexity of O(n²).
C) Heap sort can be used to implement priority queues efficiently.
D) External sorting is used when data fits entirely in main memory.</t>
  </si>
  <si>
    <t>Bubble sort's worst-case is O(n²) due to repeated swaps. Heap sort's heap structure naturally supports priority queue operations. Quick sort can underperform merge sort on sorted data, and external sorting is for data exceeding main memory.</t>
  </si>
  <si>
    <t>Consider a probability distribution that factors according to the Bayesian network structure below: X1-&gt;X3 meanwhile X2-&gt;X3, Which of the following (conditional) independence statements must be true?
A) X1 ⊥X3 |X2
B) X1 ⊥X2 |X3
C) X1 ⊥X3
D) X1 ⊥X2</t>
  </si>
  <si>
    <t>In this v-structure, $X_1$ and $X_2$ are marginally independent because no path exists between them without conditioning on their common child $X_3$. Conditioning on $X_3$ would couple them, making option B false via the explaining away effect.</t>
  </si>
  <si>
    <t>Given the following array representing a heap: 45, 27, 36, 18, 16, 21, 23, 10. Is this array a valid binary max-heap?
A) Yes
B) No, because 18 &lt; 27 violates max-heap property
C) No, because 10 is less than 23
D) No, because the heap is incomplete</t>
  </si>
  <si>
    <t>The array represents a complete binary tree where every parent node at index $i$ is greater than or equal to its children at $2i+1$ and $2i+2$. All structural and heap-order properties are satisfied, confirming it as a valid max-heap.</t>
  </si>
  <si>
    <t>Which of the following are considered linear data structures? (Select all that apply.)
A) Arrays
B) Graphs
C) Queues
D) Stacks</t>
  </si>
  <si>
    <t>Arrays, queues, and stacks are linear because elements are arranged sequentially. Graphs are non-linear due to arbitrary node connections, which do not follow a single sequential order.</t>
  </si>
  <si>
    <t>When estimating the selectivity of a predicate "WHERE A = 5 AND B = 10", most simple optimizers make the "Independence Assumption." If the selectivity of (A=5) is 0.1 and (B=10) is 0.2, what is the estimated combined selectivity?
A) 0.3
B) 0.02
C) 0.1
D) 0.2</t>
  </si>
  <si>
    <t>Under the independence assumption, the combined selectivity is the product of the individual selectivities: \(0.1 \times 0.2 = 0.02\). The other options incorrectly add the selectivities, use only one, or use the maximum.</t>
  </si>
  <si>
    <t>To ensure thread-safety in a B+ Tree index, "Latches" (lightweight locks) are used. What is "Lock Coupling" (or "Crabbing")?
A) Holding a latch on a parent node, acquiring the latch on the child, and then releasing the parent latch only if the child is "safe" (won't split).
B) Acquiring latches on all nodes from root to leaf in a single atomic operation.
C) Using a global lock on the entire tree for every write operation.
D) Allowing readers to access nodes without any latches by using versioning.</t>
  </si>
  <si>
    <t>Lock coupling ensures safe traversal by holding a parent latch until the child is confirmed safe, preventing concurrent splits from invalidating the path. Other options either over-restrict concurrency or fail to provide necessary safety guarantees.</t>
  </si>
  <si>
    <t>Alice sends the same message M to Bob (e1=3) and Charlie (e2=7) using the same modulus N. An attacker observes C1 = M^3 mod N and C2 = M^7 mod N. How does the attacker recover M?
A) Factor N using gcd(C1, C2).
B) Compute M = C2 / C1 mod N.
C) Find a, b such that 3a + 7b = 1, then compute (C1^a * C2^b) mod N.
D) Compute the 10th root of C1 * C2.</t>
  </si>
  <si>
    <t>The attacker uses the extended Euclidean algorithm to find integers \(a\) and \(b\) satisfying \(3a + 7b = 1\), then computes \(M = (C_1^a \cdot C_2^b) \mod N\), which recovers \(M\) because \(M^{3a+7b} = M^1 = M\). This is a classic low-exponent attack on RSA with a common modulus.</t>
  </si>
  <si>
    <t>A self-organizing list dynamically rearranges itself to improve ________ for frequently accessed elements.</t>
  </si>
  <si>
    <t>access time (or retrieval efficiency)</t>
  </si>
  <si>
    <t>Self-organizing lists use heuristics like move-to-front to relocate accessed items closer to the head. This dynamic rearrangement reduces the number of comparisons for common queries, thereby minimizing average access time and improving overall retrieval efficiency in non-uniform distributions.</t>
  </si>
  <si>
    <t>To prevent Clickjacking, modern browsers support the X-Frame-Options header, or more robustly, the frame-ancestors directive within the ______ header.</t>
  </si>
  <si>
    <t>Content-Security-Policy</t>
  </si>
  <si>
    <t>The `frame-ancestors` directive is part of the **Content-Security-Policy** header, which provides a more flexible and robust mechanism than `X-Frame-Options` for controlling which origins can embed a page in a frame.</t>
  </si>
  <si>
    <t>Consider a “true” distribution p given by p(A) = 0.5, p(B) = 0.25, p(C) = 0.25 and an “approximating” distribution q given by q(A) = 0.5, q(B) = 0.5, q(C) = 0. The KL divergence KL(p∥q) is 1/2*log(2).</t>
  </si>
  <si>
    <t>The KL divergence is undefined because q(C)=0 makes a term infinite.</t>
  </si>
  <si>
    <t>You are trapped in a dark cave with three indistinguishable exits on the walls. One of the exits takes
you 3 hours to travel and takes you outside. One of the other exits takes 1 hour to travel and the other
takes 2 hours, but both drop you back in the original cave. You have no way of marking which exits
you have attempted. The expected time it takes for you to get outside is ______ .</t>
  </si>
  <si>
    <t>The expected time is the sum of travel times for all exits (3+1+2=6 hours) because you must try each exit in random order until finding the correct one, with no memory of previous attempts.</t>
  </si>
  <si>
    <t>Which of the following is the best reason to choose FastCGI over CGI?
A) Superior support by web servers like Apache
B) Lower process creation costs
C) Lower process communication costs
D) Better process locality (all tasks can be executed locally)</t>
  </si>
  <si>
    <t>FastCGI uses persistent processes, reducing the overhead of repeatedly creating new processes for each request as in CGI, which lowers process creation costs. The other options are incorrect because they do not represent the primary advantage of FastCGI over CGI.</t>
  </si>
  <si>
    <t xml:space="preserve"> In the context of Support Vector Machines (SVMs), which of the following are true? (Select all that apply.)
A. The margin of an SVM is the distance between the decision boundary and the closest data points.
B. Hard-margin SVM requires perfectly linearly separable data.
C. Soft-margin SVM can handle some misclassified points by introducing slack variables.
D. The solution to the SVM optimization problem is always unique.</t>
  </si>
  <si>
    <t>A and B are correct as the margin is defined by support vectors, and hard-margin SVMs require perfect separability. C is correct because slack variables allow soft-margin SVMs to tolerate misclassifications. D is incorrect as the solution may not be unique, especially with non-separable data or multiple support vectors.</t>
  </si>
  <si>
    <t>In a soft-margin SVM, the hinge loss function (1−y_i(x_i⋅w−b)) is often approximated by the ____________ function f_β(x)=1/β*log⁡(1+e^{βx}) to obtain a smooth convex loss suitable for gradient descent.</t>
  </si>
  <si>
    <t>softplus</t>
  </si>
  <si>
    <t>The softplus function provides a differentiable, smooth approximation of the non-smooth hinge loss. By replacing the kink at the origin with a logarithmic curve, it facilitates gradient-based optimization while maintaining the convex properties required for effective soft-margin SVM training.</t>
  </si>
  <si>
    <t>For any two variables x and y having joint distribution p(x, y), we always have H[x, y] ≥ H[x] + H[y] where H is entropy function.</t>
  </si>
  <si>
    <t>Joint entropy is at most the sum of individual entropies, not at least.</t>
  </si>
  <si>
    <t>To ensure Durability without sacrificing performance, most DBMSs use the Write-Ahead Logging (WAL) protocol combined with a ______ buffer management policy, which means dirty pages are not required to be flushed to disk at commit time.</t>
  </si>
  <si>
    <t>No-Force</t>
  </si>
  <si>
    <t>The No-Force policy allows the DBMS to keep dirty pages in memory after commit, relying on WAL for recovery. This avoids costly disk writes at commit time, enhancing performance while still guaranteeing durability through the log.</t>
  </si>
  <si>
    <t>Which of the following is not a benefit of virtual memory?
A) It allows the virtual address space to be larger than the physical address space
B) No process can accidentally access the memory of another process
C) The TLB is more effective since without it dereferencing a virtual address now requires two or
more memory accesses
D) Different processes can have overlapping virtual address spaces without conflict</t>
  </si>
  <si>
    <t>The TLB is a mechanism to mitigate the performance penalty of virtual memory, not a benefit of it. While virtual memory provides isolation and expanded address spaces, it necessitates the TLB to avoid slow multi-level page table lookups.</t>
  </si>
  <si>
    <t xml:space="preserve">The _______ tree is a balanced binary search tree that maintains height balance via rotations during insertions and deletions.
</t>
  </si>
  <si>
    <t>AVL</t>
  </si>
  <si>
    <t>An AVL tree ensures height balance by performing rotations after insertions and deletions, guaranteeing that the heights of any node's left and right subtrees differ by at most one, which maintains O(log n) time complexity for operations.</t>
  </si>
  <si>
    <t>L1 regularization gives us more explainable models as they are sparse, so we can discard most covariates as having no eﬀect on the outcome variable; hence we should prefer L1 regularization to L2 even at the cost of performance. Do you agree with this statement? If yes, give an example. If not, why not?</t>
  </si>
  <si>
    <t>This is not true as the discarded variables might have strong correlation
with a non discarded variable and only one of them might have a non zero coeﬃcient
with l1 regularization at random</t>
  </si>
  <si>
    <t>A satisfactory answer must disagree, noting that L1's sparsity aids interpretability but is not universally preferable; performance trade-offs matter, and L2 can be better when all features are relevant or multicollinearity exists, requiring a balanced justification.</t>
  </si>
  <si>
    <t>The softmax function converts any real-valued vector into a probability vector by exponentiating each component and normalizing by the sum of all exponentials.</t>
  </si>
  <si>
    <t>Exponentiating ensures positivity and normalizing by the sum yields a valid probability distribution.</t>
  </si>
  <si>
    <t>Regarding registers and data transfer in a CPU, which of the following are correct? (Select all that apply.)
A) Registers transfer data only on asynchronous signals.
B) Registers can include combinational gates for data processing.
C) Registers hold binary information for processing.
D) Register load inputs control when new data is stored.</t>
  </si>
  <si>
    <t>Registers store binary data; clocked load enables dictate updates, and integrated combinational logic supports arithmetic functions, so B, C, D apply. Data transfers are generally synchronous, not solely triggered by asynchronous signals, making option A incorrect.</t>
  </si>
  <si>
    <t>Which of the following are true about 2-3 trees? (Select all that apply.)
A) Every internal node has either 2 or 3 children.
B) All leaves are at the same depth.
C) Insertion and deletion always require O(log n) amortized time including fixing underflows and overflows.
D) The height of a 2-3 tree can be linear in the number of elements.</t>
  </si>
  <si>
    <t>A 2-3 tree is a balanced search tree where each internal node has 2 or 3 children, ensuring all leaves are at the same depth. This balance guarantees O(log n) time for insertions and deletions, preventing linear height.</t>
  </si>
  <si>
    <t>Consider a table "Employees" with a column "Commission" that allows NULL values. You execute the following query: `SELECT * FROM Employees WHERE NOT (Commission = 100 OR Commission &lt;&gt; 100);`. Which of the following describes the result set?
A) It returns all rows where Commission is NULL.
B) It returns no rows.
C) It returns rows where Commission is 0.
D) It returns rows where Commission is NOT NULL.</t>
  </si>
  <si>
    <t>For non-NULL values, the disjunction is TRUE, making the negated condition FALSE. For NULLs, comparisons result in UNKNOWN, which remains UNKNOWN after negation. Since SQL filters exclude UNKNOWN results, the query returns an empty set.</t>
  </si>
  <si>
    <t>The process of modularization in algorithm design helps in implementing code and debugging by dividing a complex algorithm into simpler modules.</t>
  </si>
  <si>
    <t>Modularization simplifies implementation and debugging by isolating functionality into manageable, testable units.</t>
  </si>
  <si>
    <t>Which of the following statements correctly describe kernel methods in machine learning? (Select all that apply.)
A. Kernel methods can implicitly map data into higher-dimensional spaces.
B. The kernel trick avoids explicit computation of feature maps.
C. Kernel functions must always be linear.
D. Kernel SVMs extend linear SVMs to nonlinearly separable data.</t>
  </si>
  <si>
    <t>Kernel methods implicitly map data to higher dimensions via the kernel trick, avoiding explicit feature computation, and enable SVMs to handle nonlinear separability. Kernels are not required to be linear, as nonlinear kernels like RBF are common.</t>
  </si>
  <si>
    <t>Consider a three word machine instruction "ADD A[R0],@B". The first operand (destination) “A[R0]” uses indexed addressing mode with R0 as the index register. The second operand (source) ""@B"" uses indirect addressing mode. A and B are memory addresses residing at the second and the third words, respectively. The first word of the instruction specifies the opcode, the index register designation and the source and destination addressing modes. During execution of ADD instruction, the two operands are added and stored in the destination (first operand). The number of memory cycles needed during the execution cycle of the instruction is ______ .</t>
  </si>
  <si>
    <t>The total cycles sum to 6 by adding 1 cycle for the ADD instruction, 3 cycles for the indexed addressing of A [R0], and 2 cycles for the indirect addressing of @B, totaling $1 + 3 + 2 = 6$.</t>
  </si>
  <si>
    <t>Which of the following conditions would cause the OS to invalidate one or more TLB entries? (Select all that apply.)
A) A process’ page is evicted from DRAM.
B) A process loads one of its page into an empty DRAM.
C) The operating system triggers a context switch.
D) The program executes a system call that does require a context switch.</t>
  </si>
  <si>
    <t>Page eviction invalidates cached mappings, while context switches (including those triggered by system calls) flush TLB entries to prevent stale translations. Loading a page into empty DRAM merely creates new mappings without affecting existing TLB entries.</t>
  </si>
  <si>
    <t>At test time, a Dropout layer (implemented as Inverse Dropout) with a dropout probability p will:
A) Multiply the input tensor by p.
B) Drop neurons from the input with probability p.
C) Divide the input tensor by p.
D) None of the above.</t>
  </si>
  <si>
    <t>At test time, Inverse Dropout scales the input by (1-p) to maintain the expected magnitude, so it does not drop neurons or multiply/divide by p. Therefore, none of the listed operations are correct.</t>
  </si>
  <si>
    <t>Consider the following statements about stacks: Pop() adds an element on top of the stack. Postfix operations do not require parentheses. Recursion uses system stack for function calls. Which of these statements are correct?
A) 1 and 2 only
B) 2 and 3 only
C) 1 and 3 only
D) All of the above</t>
  </si>
  <si>
    <t>Pop() removes an element, so statement 1 is false. Postfix notation eliminates the need for parentheses, and recursion uses the system call stack, making statements 2 and 3 true. Therefore, only statements 2 and 3 are correct.</t>
  </si>
  <si>
    <t>Which of the following is a legitimate difference between IA-32 and x86-64?
A) Buffer overflow exploits are impossible under x86-64.
B) IA-32 has caller- and callee-saved register conventions, while x86-64 does not.
C) Under x86-64, any instructions that take 32-bit operands are illegal.
D) None of the above.</t>
  </si>
  <si>
    <t>D is correct because all other statements are false: buffer overflows remain possible, both conventions use saved registers, and x86-64 supports 32-bit operands.</t>
  </si>
  <si>
    <t>The time complexity of an algorithm always depends solely on the size of the input, independent of the input's nature or distribution.</t>
  </si>
  <si>
    <t>Worst-case, average-case, and best-case complexities can differ based on input characteristics.</t>
  </si>
  <si>
    <t>In a doubly linked list, each node requires twice the memory of a singly linked list node, assuming the same data fields.</t>
  </si>
  <si>
    <t>Only two pointers are added, not a full duplicate of the data and next pointer.</t>
  </si>
  <si>
    <t>Regarding semi-supervised learning, which statements are correct? (Select all that apply.)
A) It uses only labeled data for training.
B) It leverages both labeled and unlabeled data to improve performance.
C) It assumes labels vary smoothly over dense regions of the data manifold.
D) It applies only to classification problems, not regression.</t>
  </si>
  <si>
    <t>Semi-supervised learning uses both labeled and unlabeled data (B) and often relies on the smoothness assumption that similar data points have similar labels (C). It is not limited to labeled data only (A) or to classification (D).</t>
  </si>
  <si>
    <t>Which data structure is most efficient for representing a sparse matrix?
A) Two-dimensional array
B) Singly linked list
C) Multiply linked list
D) Circular queue</t>
  </si>
  <si>
    <t>A sparse matrix has many zero elements; a multiply linked list efficiently stores only non-zero values with row and column links, minimizing space. Arrays waste space on zeros, while singly linked lists and circular queues lack the necessary two-dimensional indexing.</t>
  </si>
  <si>
    <t>You have a direct-mapped cache with the following parameters: Cache Block Size (B) = 16 bytes; Total Cache Size (C) = 512 bytes. Structure "struct Algae { int a; int b; };" (assume sizeof(int) = 4 bytes). An array "struct Algae grid[16][16];" is aligned such that &amp;grid[0][0] maps to cache set 0, offset 0. Consider the following code kernel: int i, j, sum = 0; for (i = 0; i &lt; 16; i++) { for (j = 0; j &lt; 16; j++) { sum += grid[j][i].a; } } What is the miss rate for the reads of grid[j][i].a?
A) 25% 
B) 50% 
C) 75% 
D) 100%</t>
  </si>
  <si>
    <t>Column-major access causes a stride of 128 bytes, exceeding the 512-byte cache capacity every four rows. Systematic conflict misses occur because each access maps to the same set as a previous one, evicting data before it is reused.</t>
  </si>
  <si>
    <t>In a linked stack implementation, the push operation involves inserting a new node at the ________ of the linked list.</t>
  </si>
  <si>
    <t>front (or top)</t>
  </si>
  <si>
    <t>A stack follows LIFO order, so the most recent item must be removable first. Using a linked list, this requires insertion at the front, which is an O(1) operation by updating the head pointer.</t>
  </si>
  <si>
    <t>To support range queries on two diﬀerent search keys, the recommended practice is to construct a clustered index (data entry alternative 1) for each key.</t>
  </si>
  <si>
    <t>Clustered indexes are not recommended for multiple keys due to data duplication and update overhead.</t>
  </si>
  <si>
    <t>What is the benefit of using Momentum optimization?
A) Simple update rule with minimal hyperparameters
B) Helps get weights out of local minima
C) Eﬀectively scales the learning rate to act the same amount across all dimensions
D) Combines the benefits of multiple optimization methods</t>
  </si>
  <si>
    <t>Momentum accelerates gradients in consistent directions, helping escape shallow local minima by overcoming small opposing gradients. Other options describe different optimizers: A is basic SGD, C is RMSprop/AdaGrad, and D is Adam.</t>
  </si>
  <si>
    <t>__________ testing is the re-execution of some subset of tests that have already been
conducted to ensure the changes that are not propagated.</t>
  </si>
  <si>
    <t>Regression</t>
  </si>
  <si>
    <t>Regression testing re-executes existing tests after modifications to verify that recent changes have not introduced new defects or broken previously working functionality.</t>
  </si>
  <si>
    <t>The control logic for a register’s load input can be derived by ORing all control functions that cause loading of that register.</t>
  </si>
  <si>
    <t>Loading occurs if any valid condition is met; thus, the logical OR of all individual control signals determines activation.</t>
  </si>
  <si>
    <t>Reference the code below to answer the answer the following question:
```
int foo(int *a, int *b, int *c, int n) {
	for (int i = 0; i &lt; n; ++i) {
		c[i] = 0;
		for (int j = 0; j &lt; n; ++j) {
			c[i] += a[i] * b[j];
		}
	}
}
```
Which of the following transformations would the compiler not be able to perform without adding additional checks that pointers do not point to overlapping memory regions? (Select all that apply.)
A) unrolling the loop with index j
B) using multiple accumulators to compute each c[i]
C) reordering the i and j loops
D) computing each c[i] in a register and only storing it after the loop with index j</t>
  </si>
  <si>
    <t>Unrolling j keeps every read–modify–write of c[i] in program order, so aliasing is harmless. Holding intermediate sums in registers (B, D) or swapping loop order (C) delays/changes writes to c, risking incorrect results if c overlaps a or b; alias checks therefore needed.</t>
  </si>
  <si>
    <t>The ____________ vector is the eigenvector of the graph Laplacian associated with the zero eigenvalue, typically the constant vector.</t>
  </si>
  <si>
    <t>trivial</t>
  </si>
  <si>
    <t>The trivial vector, typically consisting of constant values, is the eigenvector for the zero eigenvalue of any graph Laplacian. It represents the equilibrium state where no potential difference exists between nodes, reflecting the graph's connected components.</t>
  </si>
  <si>
    <t>In an MVCC system (like PostgreSQL or Oracle), how are updates and reads generally handled? (Select all that apply.)
A) An UPDATE operation creates a new version of the row rather than overwriting the data in place.
B) Readers block Writers to ensure they read a consistent snapshot.
C) Writers block Writers if they try to modify the same row concurrently.
D) A "Vacuum" or "Garbage Collection" process is required to prune old versions that are no longer visible to any active transaction.</t>
  </si>
  <si>
    <t>In MVCC, updates create new row versions (A) to avoid overwriting, and writers block each other on the same row (C) to prevent conflicts. Old versions are pruned by vacuum (D). Readers do not block writers (B incorrect), as they read from snapshots.</t>
  </si>
  <si>
    <t>Describe the limitations of sequential linear data structures and how linked lists address these limitations.</t>
  </si>
  <si>
    <t>Sequential linear data structures like arrays have fixed size and inefficient insertion or deletion due to shifting elements. Linked lists provide dynamic size and efficient insertions and deletions by adjusting pointers without moving data elements, thus offering better memory utilization and flexibility.</t>
  </si>
  <si>
    <t>Sequential linear structures have fixed sizes and costly insertions/deletions. Linked lists overcome this by using dynamic memory allocation and pointers, allowing efficient size changes and element modifications without shifting entire data segments.</t>
  </si>
  <si>
    <t>Skip lists provide a probabilistic alternative to balanced binary search trees with average-case search time O(log n).</t>
  </si>
  <si>
    <t>Skip lists use randomization to achieve expected O(log n) search time, similar to balanced trees' worst-case guarantee.</t>
  </si>
  <si>
    <t>Which algorithm design technique does NOT typically explore all possible combinations exhaustively but rather strategically solves the problem by exploiting problem characteristics?
A) Brute force
B) Divide and conquer
C) Exhaustive search
D) Backtracking (without pruning)</t>
  </si>
  <si>
    <t>Divide and conquer strategically breaks problems into independent subproblems, solving each once without exploring all combinations. In contrast, brute force, exhaustive search, and unpruned backtracking all involve exhaustive exploration of possibilities.</t>
  </si>
  <si>
    <t>Consider a probability distribution that factors according to the Markov network structure below: X1-X3-X4-X2-X1 meanwhile X1-X4, Which of the following (conditional) independence statements must be true?
A) X2 ⊥X3 |X1
B) X1 ⊥X4 |{X2,X3}
C) X2 ⊥X3 |{X1,X4}
D) None of the above</t>
  </si>
  <si>
    <t>In a Markov network, variables are conditionally independent if all paths between them are blocked by the conditioning set. Conditioning on $X_1$ and $X_4$ severs all connections between $X_2$ and $X_3$, satisfying the global Markov property.</t>
  </si>
  <si>
    <t>A Padding Oracle Attack is possible when: (Select all that apply.)
A) The system uses a block cipher in CBC mode.
B) The system uses PKCS#7 padding (or similar).
C) The system reveals different behavior (error code or timing) for valid vs invalid padding.
D) The system uses AES-GCM.</t>
  </si>
  <si>
    <t>A padding oracle attack targets CBC mode with PKCS#7 padding, exploiting differing system responses to padding errors. AES-GCM is not vulnerable as it uses authentication and does not rely on padding.</t>
  </si>
  <si>
    <t>Which of the following are valid strategies for handling deadlocks in a DBMS? (Select all that apply.)
A) Deadlock Detection: Periodically build a "Waits-For" graph and abort a transaction to break a cycle.
B) Wait-Die Scheme: If an older transaction requests a lock held by a younger one, it waits. If younger requests from older, it dies (aborts).
C) Wound-Wait Scheme: If an older transaction requests a lock held by a younger one, the younger one is aborted (wounded).
D) Ostrich Algorithm: Ignoring the problem and assuming deadlocks are rare (used in some systems, but not strict DBMSs).</t>
  </si>
  <si>
    <t>DBMSs manage deadlocks by detecting waits-for cycles and aborting (A) or by prevention through timestamp ordering, using wait-die (B) or wound-wait (C). Simply ignoring potential deadlocks (D) is not considered a valid DBMS strategy.</t>
  </si>
  <si>
    <t>Which compression technique is particularly effective in Column-Oriented databases for columns with low cardinality (few unique values) and sorted data, such as a "Country" column sorted alphabetically?
A) Dictionary Encoding
B) Run-Length Encoding (RLE)
C) Delta Encoding
D) Bit-Packing</t>
  </si>
  <si>
    <t>Run-Length Encoding (RLE) compresses sorted, low-cardinality data like countries by storing value-count pairs, drastically reducing size. Dictionary encoding maps values to codes but doesn't leverage sorting; delta and bit-packing target numeric sequences, not categorical repeats.</t>
  </si>
  <si>
    <t>For the same size of physical memory, a word-addressable system would have the same number of distinct addresses as a byte-addressable system.</t>
  </si>
  <si>
    <t>Word-addressable systems have fewer distinct addresses because each address references a larger unit of memory.</t>
  </si>
  <si>
    <t>What are multiply linked lists, and how do they support complex data relationships?</t>
  </si>
  <si>
    <t>Multiply linked lists have multiple link fields per node, forming a network of interconnected lists that can represent several relationships simultaneously, such as indexing students by department, sports club membership, and enrollment type, facilitating multi-dimensional traversals.</t>
  </si>
  <si>
    <t>Multiply linked lists contain nodes with multiple pointers, enabling simultaneous traversal along different logical sequences. This supports complex relationships like multi-dimensional structures or graphs by linking each node to several others.</t>
  </si>
  <si>
    <t>In the implementation of two stacks in a single array growing from opposite ends, which condition indicates the stack overflow?
A) When the top of both stacks meet or cross.
B) When the top of one stack reaches the last index of the array.
C) When the array size is a prime number.
D) When both stacks are empty.</t>
  </si>
  <si>
    <t>Stack overflow occurs when the two stack pointers meet or cross, as the shared array space is fully utilized. The other options are incorrect because overflow depends on space usage, not array size or emptiness.</t>
  </si>
  <si>
    <t>Some exceptions are triggered deliberately by an application. What is likely to be true about these exceptions? (Select all that apply.)
A) The instruction triggering the exception contains the address of the exception handler.
B) If the application was running in user mode, the exception handler will also run in user mode.
C) The processor will save the value of the program counter before running the exception handler.
D) The values of the application’s registers can be read by the exception handler.</t>
  </si>
  <si>
    <t>C and D are correct because the processor always saves the program counter for any exception, and handler code can access the saved register context. A is incorrect as the instruction itself does not contain the handler address; B is wrong because exceptions typically switch to kernel mode.</t>
  </si>
  <si>
    <t>A TOCTOU (Time-of-Check to Time-of-Use) vulnerability is a specific type of ______ condition where the system's state changes between a security check and the action utilizing that check.</t>
  </si>
  <si>
    <t>Race</t>
  </si>
  <si>
    <t>A TOCTOU vulnerability is a race condition because an attacker can exploit the timing gap between checking a resource's state and using it, altering the state in between to bypass security controls.</t>
  </si>
  <si>
    <t>Inverting X^T*X for data sets with many more observations than features (n≫p, where X is n×p) is, in general, significantly slower than computing X^T*X.</t>
  </si>
  <si>
    <t>Inverting X^T X is O(p³), while computing X^T X is O(n p²); for n≫p, the latter dominates, making inversion not significantly slower.</t>
  </si>
  <si>
    <t>The __________ is a technique used to allocate memory during program execution, enabling dynamic data structure sizes such as linked lists and trees.</t>
  </si>
  <si>
    <t>Dynamic memory allocation</t>
  </si>
  <si>
    <t>Dynamic memory allocation allows programs to request memory at runtime, enabling flexible data structures like linked lists and trees that can grow or shrink as needed, unlike static allocation which is fixed at compile time.</t>
  </si>
  <si>
    <t>When should multi-task learning be used?
A) When your problem involves more than one class label.
B) When two tasks have the same dataset.
C) When you have a small amount of data for a particular task that would benefit from the large dataset of another task.
D) When the tasks have datasets of diﬀerent formats (text and images).</t>
  </si>
  <si>
    <t>Multi-task learning is most effective when a task with limited data can leverage shared representations from a related task with abundant data, improving generalization, which is the core motivation for its use.</t>
  </si>
  <si>
    <t>The activity that distributes estimated effort across the planned project duration by allocating the effort to specific software developing tasks is __________ .</t>
  </si>
  <si>
    <t>Project scheduling</t>
  </si>
  <si>
    <t>Software project scheduling is the process of allocating anticipated effort to specific software developing activities and distributing it across the project’s intended length. A macroscopic schedule is created in the early phases of project planning.</t>
  </si>
  <si>
    <t>The log-likelihood of the data will always increase through successive iterations of the expectation maximation algorithm.</t>
  </si>
  <si>
    <t>Each EM iteration guarantees the log-likelihood is non-decreasing, meaning it can also stay the same rather than strictly increase, making "always increase" false.</t>
  </si>
  <si>
    <t>In the context of evaluating arithmetic expressions, which of the following is true regarding postfix (Reverse Polish) notation?
A) Postfix expressions require the use of a queue for evaluation.
B) Postfix expressions require the use of a stack for evaluation.
C) Postfix expressions are evaluated from right to left.
D) Postfix notation is less efficient than infix notation for computer evaluation.</t>
  </si>
  <si>
    <t>Postfix notation eliminates parentheses and operator precedence, allowing evaluation by pushing operands onto a stack and applying operators to the topmost operands, making a stack essential. A queue is unnecessary, evaluation proceeds left to right, and postfix is more efficient for computers than infix.</t>
  </si>
  <si>
    <t>Which of the following is true about skip list insert operations?
A) Insertions always occur at the bottom level only
B) Insertions may involve updating multiple levels
C) Insertions require balancing like AVL trees
D) Insertions are only at the head of the list</t>
  </si>
  <si>
    <t>Skip lists use randomization to determine the height of a new node, so insertions often require linking it into multiple levels, not just the bottom. The other options misrepresent skip list properties.</t>
  </si>
  <si>
    <t>A _______ queue is a linear data structure that allows insertion at the rear and deletion at the front, implementing the First-In-First-Out (FIFO) principle.</t>
  </si>
  <si>
    <t>Linear queues maintain a strict sequential order by adding elements at the rear and removing them from the front. This structural configuration ensures the FIFO principle, where the first element entered is always the first one to be processed.</t>
  </si>
  <si>
    <t>The standard (Ephemeral) Diffie-Hellman Key Exchange (DHE) provides which security properties? (Select all that apply.)
A) Shared Secret establishment over an insecure channel.
B) Perfect Forward Secrecy.
C) Authenticated Identity of participants.
D) Protection against Man-in-the-Middle attacks.</t>
  </si>
  <si>
    <t>DHE establishes a shared secret over an insecure channel (A) and provides perfect forward secrecy (B) as session keys are ephemeral. It does not authenticate participants (C), leaving it vulnerable to man-in-the-middle attacks (D) without additional authentication.</t>
  </si>
  <si>
    <t>In the OAuth 2.0 Authorization Code flow, which of the following attacks are mitigated by the use of PKCE (Proof Key for Code Exchange)? (Select all that apply.)
A) Authorization Code Interception attack.
B) Client Secret leakage on public clients (mobile/SPA).
C) Cross-Site Request Forgery (CSRF) on the authorization endpoint.
D) Token Replay attacks.</t>
  </si>
  <si>
    <t>PKCE mitigates code interception by binding the token request to the original session via a dynamic secret. It prevents CSRF by ensuring the authorization response can only be exchanged by the entity that initiated the code challenge.</t>
  </si>
  <si>
    <t>About the control word in a general register organization CPU, which of the following are true? (Select all that apply.)
A) Control word specifies source registers for bus A and B.
B) Control word length depends only on the number of registers in the CPU.
C) Control word includes destination register selection.
D) ALU operations are encoded as part of the control word.</t>
  </si>
  <si>
    <t>The control word directs data flow by specifying source and destination registers (A, C) and the ALU operation (D). Its length depends on the number of control signals, not just registers, making B incorrect.</t>
  </si>
  <si>
    <t>Consider a system with the following specifications: TLB has a 1 cycle hit time and a 99% hit rate; The TLB miss penalty (page table lookup time) is 100 cycles; The L1 cache has a hit time of 4 cycles and a hit rate 80%; The miss penalty for L1 cache is 50 cycles. Assuming TLB and L1 cache accesses do not overlap, the average memory access time for the system described above is ______.</t>
  </si>
  <si>
    <t>AMAT is the sum of translation and data access times. Translation time is $1 + (0.01 \times 100) = 2$ cycles. Data access time is $4 + (0.2 \times 50) = 14$ cycles. Without overlap, the total is 16 cycles.</t>
  </si>
  <si>
    <t>Which one of the following statements about cache memories is true:
A) Larger caches are more susceptible to capacity misses than smaller caches.
B) Caches with lower associativity are more susceptible to conflict misses than those with higher associativy.
C) Caches with higher associativity are more susceptile to cold misses than those with lower associativey.
D) None of the above</t>
  </si>
  <si>
    <t>B is correct because lower associativity increases mapping collisions, causing conflict misses. A is false: larger caches reduce capacity misses. C is false: cold misses are independent of associativity, depending only on initial cache emptiness.</t>
  </si>
  <si>
    <t>Explain why the vast majority of systems uses virtual and physical pages that are the same size?</t>
  </si>
  <si>
    <t>Both virtual and physical addresses can be divided into a page number that identifies the page containing an address and an offset that identifies the location of the address within the page.
If the virtual and physical pages on a system are the same size, then the offset from a virtual address can be concatenated onto the physical page number that corresponds to the virtual page containing the address to produce the physical address that corresponds to a virtual address. If a system's virtual and physical pages were different sizes, some more complicated means of generating the physical address from the physical page number and the offset field of the virtual address would be required.</t>
  </si>
  <si>
    <t>Using equal sizes simplifies address translation, as the offset bits remain unchanged between virtual and physical addresses, eliminating the need for complex fragmentation management within a page.</t>
  </si>
  <si>
    <t>The "Double Submit Cookie" pattern is a defense against Cross-Site Request Forgery (CSRF) where the CSRF token is sent as both a hidden form field and a ______.</t>
  </si>
  <si>
    <t>cookie</t>
  </si>
  <si>
    <t>The CSRF token is stored in a cookie and also sent as a hidden form field; the server compares both values to verify the request's legitimacy, ensuring it originated from the intended user session.</t>
  </si>
  <si>
    <t>Consider three random variables X1,X2,X3, each of which takes one of 2 possible values. Suppose their joint probability distribution is known to factor according to the Bayesian network structure below: X1-&gt;X3, X2-&gt;X3, Given this information, how many parameters are needed to specify the joint probability distribution?
A) 7
B) 6
C) 5
D) 4</t>
  </si>
  <si>
    <t>$X_1$ and $X_2$ have no parents, requiring one parameter each ($2^1-1$). $X_3$ has two binary parents, requiring four parameters ($2^2(2^1-1)$). Summing these ($1+1+4$) yields six independent parameters necessary to fully define the joint probability distribution.</t>
  </si>
  <si>
    <t>The procedure to insert a new element in a max-heap involves ______ operation to restore heap property.</t>
  </si>
  <si>
    <t>up-heapify (or bubble-up)</t>
  </si>
  <si>
    <t>After inserting a new element at the bottom-most leaf to maintain a complete binary tree, the up-heapify operation compares the node with its parent. Swapping occurs repeatedly until the parent is larger, restoring the essential max-heap property.</t>
  </si>
  <si>
    <t>You want to match a string where the second character is exactly 'a'. The correct SQL statement is `SELECT * FROM Words WHERE word LIKE '______a%';`.</t>
  </si>
  <si>
    <t>_</t>
  </si>
  <si>
    <t>In SQL LIKE syntax, _ matches exactly one character, while % matches zero or more. So _a% means "One char, then 'a', then anything".</t>
  </si>
  <si>
    <t>Suppose a given cache has an access time (cache hit latency) of 10 ns and a miss rate of 5 percent. A given change to the cache will decrease the miss rate to 3 percent, but it will increase the cache hit latency to 15 ns. Under what conditions does this change result in greater performance (lower average memory access time)?</t>
  </si>
  <si>
    <t xml:space="preserve">Average memory access time = (T_hit X P_hit) + [T_miss X P_miss). For this change to reduce
access time, we need (15 ns x 0.97) + (T_miss x 0.03) &lt; (10 ns x 0.95) + (T_miss * 0.05).
Solving this gives T_miss &gt; 252.5ns. As long as the cache miss time is greater than the increase in cache hit time. </t>
  </si>
  <si>
    <t>The change improves performance when the reduction in miss penalty outweighs the increased hit latency, specifically if the miss penalty is greater than 250 ns, as derived from comparing the average memory access time before and after the change.</t>
  </si>
  <si>
    <t>Your CS 230 project is in collaboration with the California PD, and they require you to identify criminals, given their data. Since being imprisoned is a very severe punishment, it is very important for your deep learning system to not incorrectly identify the criminals, and simultaneously ensure that your city is as safe as possible. What evaluation metric would you choose and why?</t>
  </si>
  <si>
    <t>For the model to be a good one, you want to be sure that the person you catch is a criminal (Precision) and you also want to capture as many criminals (Recall) as possible. The F1 score manages this tradeoﬀ.</t>
  </si>
  <si>
    <t>Choose precision to minimize false positives, ensuring innocent people are not wrongly imprisoned, while monitoring recall to maintain safety by still catching criminals.</t>
  </si>
  <si>
    <t>What happens if the parent of a zombie child terminates?
A) The zombie child becomes a wraith and is never reaped.
B) The zombie child is reaped by the init process.
C) The zombie child is reaped by the process with the nearest PID.
D) None of the above.</t>
  </si>
  <si>
    <t>When a process terminates, its zombie children are inherited by the `init` process (PID 1), which performs the final `wait()` to reap them and free their process table entries. This prevents permanent resource leaks in the system.</t>
  </si>
  <si>
    <t>Consider a system with 64-bit physical addresses and caches that use physical addresses; an 8-way 64KB L1 cache with a random replacement policy, a write-through, write-no-allocate policy, 64 byte blocks, and a 4 cycle hit time; a 4-way 2MB L2 cache with an LRU replacement policy, a write-back, write-allocate policy; 64 byte blocks; and a 16 cycle hit time; the miss penalty of the L2 cache is 50 cycles. If the L1 cache has a 90% hit rate and the L2 cache has a 80% hit rate, the average memory access time of the L1 cache is ______ cycles. (Assume each cache needs their entire hit time to determine whether there is a hit or miss.)</t>
  </si>
  <si>
    <t>AMAT is calculated by adding the L1 hit time to the product of the L1 miss rate and L2 access time. The calculation $4 + 0.1 \times (16 + 0.2 \times 50)$ results in 6.6 cycles total.</t>
  </si>
  <si>
    <t>A 256-byte 4-way set associative cache with 16 byte blocks has
A) 4 sets
B) 16 sets
C) 64 sets
D) No sets</t>
  </si>
  <si>
    <t>The cache has 256 bytes total with 16-byte blocks, so it has 16 blocks. As a 4-way set associative cache, each set holds 4 blocks, resulting in 4 sets.</t>
  </si>
  <si>
    <t>Pipeline parallelism in query execution requires that operators (like Sort or Hash Aggregate) do not "block" (i.e., they must emit results as soon as they process input tuples).</t>
  </si>
  <si>
    <t>Pipelining depends on non-blocking behavior; blocking operators must consume all input before emitting data, which stalls the pipeline.</t>
  </si>
  <si>
    <t>What does the term 'time-sharing system' refer to in the context of queues?
A) system that uses queues for data storage
B) system that allows multiple users to access a computer simultaneously
C) system that prioritizes jobs based on time
D) system that eliminates the need for queues</t>
  </si>
  <si>
    <t>A time-sharing system uses scheduling queues to rapidly switch between multiple users' tasks, giving each the illusion of simultaneous access. The other options misrepresent the core concept of concurrent multi-user access facilitated by queue-based scheduling.</t>
  </si>
  <si>
    <t>Describe how circularly linked lists improve upon singly linked lists in terms of deletion operations.</t>
  </si>
  <si>
    <t>Circularly linked lists connect the last node back to the first, enabling traversal from any node and easy detection of the list’s end. This circular connection allows deletion of a node without requiring explicit knowledge of its predecessor, unlike singly linked lists where predecessor access is necessary, thereby simplifying and improving deletion efficiency.</t>
  </si>
  <si>
    <t>Circularly linked lists allow constant-time deletion of the tail node by providing direct access from the tail to the head, eliminating the need to traverse the entire list to update the previous node's pointer.</t>
  </si>
  <si>
    <t>Which of the following scenarios describes a "Phantom" phenomenon?
A) Transaction T1 reads a row. T2 updates that row. T1 reads it again and sees the new value.
B) Transaction T1 reads a row. T2 deletes that row. T1 tries to read it again and fails.
C) Transaction T1 runs a range query (e.g., SELECT * FROM Users WHERE Age &gt; 10) and gets 5 rows. T2 inserts a new User with Age 15. T1 runs the same query again and gets 6 rows.
D) Transaction T1 updates a row. T2 overwrites T1's update without reading it.</t>
  </si>
  <si>
    <t>The phantom phenomenon occurs when a transaction re-executes a range query and sees new rows inserted by another transaction. Only scenario C involves a range query where a new row appears, making it correct. The others describe dirty reads, missing rows, or lost updates.</t>
  </si>
  <si>
    <t>Consider the university enrollment database schema: Student(\underline{snum: integer}, sname: string, major: string, level: string, age: integer); Class(\underline{name: string}, meets at: time, room: string, fid: integer); Enrolled(\underline{snum: integer, cname: string}); Faculty(\underline{fid: integer}, fname: string, deptid: integer). The meaning of these relations is straightforward; for example, Enrolled has one record per student-class pair such that the student is enrolled in the class. For the following transactions, state the SQL isolation level you would use and explain why you chose it: Assign a new faculty member identified by his fid to the class with the least number of students.</t>
  </si>
  <si>
    <t>To prevent other transactions from inserting or updating the table Enrolled while we are reading from it (known as the phantom problem), we would need to use SERIALIZABLE.</t>
  </si>
  <si>
    <t>Use SERIALIZABLE to ensure the class with the least students is correctly identified and assigned without concurrent modifications altering enrollment counts during the transaction.</t>
  </si>
  <si>
    <t>Modifying the software to match changes in the ever changing environment is called __________ .
A) Adaptive maintenance
B) Corrective maintenance
C) Perfective maintenance
D) Preventive maintenance</t>
  </si>
  <si>
    <t>Adaptive maintenance modifies software to adapt to changes in its environment, such as new hardware or regulations. The other types address errors (corrective), improve performance (perfective), or prevent future issues (preventive), which do not match the given scenario.</t>
  </si>
  <si>
    <t>"White-box" fuzzing involves testing a target application without any access to its source code or internal structure.</t>
  </si>
  <si>
    <t>"White-box" fuzzing requires source code access; the statement describes "black-box" fuzzing.</t>
  </si>
  <si>
    <t>The VC-dimension of k-Nearest Neighbour classifier when k = 1 is ______ since it can shatter an arbitrary training set.</t>
  </si>
  <si>
    <t>infinity</t>
  </si>
  <si>
    <t>The VC-dimension is infinite because a 1-NN classifier creates Voronoi cells around each training point. This allows it to classify any set of $N$ distinct points with zero error, regardless of the assigned labels or the size of $N$.</t>
  </si>
  <si>
    <t>Which of the following are common vulnerabilities associated with JSON Web Tokens (JWT)? (Select all that apply.)
A) "None" Algorithm attack.
B) Key Confusion attack (HMAC vs RSA).
C) Padding Oracle attack (if encrypted).
D) Information leakage (sensitive data in payload).</t>
  </si>
  <si>
    <t>JWTs face algorithm manipulation where attackers bypass signatures using the none type or confuse HMAC with RSA public keys. Because standard payloads are only Base64 encoded, they leak data. Padding oracles typically target block-based encryption, not standard signatures.</t>
  </si>
  <si>
    <t>Regarding recursive algorithms and their analysis, which of the following are true? (Select all that apply.)
A) Recursion can be analyzed using recurrence relations.
B) The time complexity of recursive algorithms is always exponential.
C) Base cases in recursion ensure termination of the recursive calls.
D) Recursive calls generate an invisible stack during execution.</t>
  </si>
  <si>
    <t>Recursion is analyzed via recurrence relations (A). Base cases prevent infinite recursion (C). Recursive calls use a call stack, which is managed implicitly (D). Time complexity varies and is not always exponential (B).</t>
  </si>
  <si>
    <t>Which characters are dangerous and should typically be encoded or sanitized to prevent SQL Injection? (Select all that apply.)
A) Single Quote (').
B) Double Quote (").
C) Semicolon (;).
D) Comment indicators (-- or #).</t>
  </si>
  <si>
    <t>Quotes allow attackers to break out of string literals, while semicolons enable command stacking for additional malicious queries. Comment indicators are used to truncate the original query, effectively neutralizing subsequent logic intended by the developer.</t>
  </si>
  <si>
    <t>Organization can have in-house inspection, direct involvement of users and release of
beta version are few of them and it also includes usability, compatibility, user acceptance
etc. is called __________ .</t>
  </si>
  <si>
    <t>Testing</t>
  </si>
  <si>
    <t>Testing encompasses activities like in-house inspections, beta releases, and user involvement to validate software. It ensures the system meets requirements for usability, compatibility, and acceptance by identifying defects and verifying functional performance before the final product release.</t>
  </si>
  <si>
    <t>The worst-case time complexity of the Tower of Hanoi recursive algorithm is O(n²).</t>
  </si>
  <si>
    <t>The recursive algorithm has exponential time complexity O(2ⁿ), not quadratic.</t>
  </si>
  <si>
    <t>Radix sort is most efficient when:
A) Sorting integers with a fixed number of digits
B) Sorting strings with varying lengths
C) Sorting floating-point numbers
D) Sorting linked lists</t>
  </si>
  <si>
    <t>Radix sort processes digits from least to most significant, requiring a fixed digit count per key for consistent passes; varying lengths, floating-point representations, or linked-list traversals disrupt this digit-wise grouping, reducing efficiency.</t>
  </si>
  <si>
    <t>Which of the following statements about tree data structures are correct? (Select all that apply.)
A) All leaf nodes in a B-tree are at the same level.
B) A 2-3 tree is a type of binary tree where each node has exactly two or three children.
C) Threaded binary trees improve traversal efficiency by using null pointers to store inorder predecessors and successors.
D) Complete binary trees must have all levels fully filled except possibly the last, which is filled from left to right.</t>
  </si>
  <si>
    <t>A B-tree is balanced, so all leaves are at the same depth. Threaded trees use null pointers for inorder links to speed traversal. A complete binary tree's last level is filled left to right. A 2-3 tree is not binary; nodes have 2 or 3 children and 1 or 2 keys.</t>
  </si>
  <si>
    <t>The space complexity of an algorithm is the amount of memory required during program execution as a function of the input size.</t>
  </si>
  <si>
    <t>As it measures memory usage relative to input size, excluding constant factors.</t>
  </si>
  <si>
    <t>The register transfer language is a symbolic notation used to describe microoperations among registers in digital systems.</t>
  </si>
  <si>
    <t>Register transfer language uses symbolic notation to describe microoperations between registers in digital systems, making the statement true.</t>
  </si>
  <si>
    <t>Consider a binary tree with 31 nodes. What is the minimum possible height (or depth) of this tree?
A) 4
B) 5
C) 6
D) 31</t>
  </si>
  <si>
    <t>The minimum height occurs in a complete binary tree where nodes are packed as densely as possible. For $n=31$ nodes, the height $h$ satisfies $2^{h-1} \le n &lt; 2^h$, leading to $h = \lceil \log_2(31+1) \rceil = 5$.</t>
  </si>
  <si>
    <t>Which of the following is NOT a correct property of heaps?
A) A binary heap is a complete binary tree.
B) A max-heap always has the smallest element at the root.
C) The height of a binary heap with n nodes is O(log n).
D) Heaps are used to implement priority queues efficiently.</t>
  </si>
  <si>
    <t>A max-heap has the largest element at the root, not the smallest. A binary heap is a complete tree, its height is logarithmic in \(n\), and it is the standard structure for an efficient priority queue.</t>
  </si>
  <si>
    <t>In the AES MixColumns layer, operations are performed in GF(2^8) defined by the polynomial P(x) = x^8 + x^4 + x^3 + x + 1 (0x11B). Calculate the result of multiplying the byte 0x57 by 0x02.
A) 0xAE
B) 0x55
C) 0xB5
D) 0x1A</t>
  </si>
  <si>
    <t>In GF(2^8), multiplying by 0x02 is a left shift. 0x57 (01010111) shifted gives 10101110 (0xAE). Since the high bit was 0, no XOR with 0x11B is needed. The others are incorrect as they either miscalculate the shift or the reduction.</t>
  </si>
  <si>
    <t>Which of the following is a difference between blocking and ignoring a signal?
A) Once a blocked signal is unblocked, it will be handled by the process. A signal that comes while
it is being ignored will never be handled.
B) SIGSTOP and SIGINT can be ignored, but not blocked.
C) Ignoring a signal only causes it to have no effect, while blocking a signal returns the signal to
its sender.
D) None of the above</t>
  </si>
  <si>
    <t>Blocking a signal puts it in a pending state for later delivery upon unblocking, whereas ignoring a signal discards it immediately upon arrival. This fundamental distinction ensures that blocked signals are eventually processed, while ignored signals are lost forever.</t>
  </si>
  <si>
    <t>It is diﬃcult to implement ’data-parallel’ (e.g. map-reduce) algorithms for linear regression, as simple data-parallel methods come at a large cost in accuracy.</t>
  </si>
  <si>
    <t>Data-parallel methods like map-reduce can be implemented efficiently for linear regression without sacrificing accuracy.</t>
  </si>
  <si>
    <t>Suppose it takes 2.5 ns access the tag array of a set-associative cache, 4 ns to access the data array, 1 ns to perform the hit/miss comparison, and 1 ns to return the selected data to the processor in the case of a hit. What is the cache hit latency of the system and what would the cache hit latency of the system be if both the tag and data array access time were 3 ns?</t>
  </si>
  <si>
    <t>Since the data array is the critical path, the cache hit latency is equal to the data array access time plus the time to return the selected data to the processor, or 5 ns.
If both the tag and data array access time were 3 ns, the hit/miss computation is the critical path during a cache hit, so the cache hit latency is equal to the tag array access time plus the hit/miss comparison time plus the time to return the data to the processor. or 5 ns. Note that some direct-mapped caches overlap the return of data to the processor with the hit/miss computation, since there is only one possible word of data to be returned on a cache hit. In this case, the hit latency would be 4ns, since we could do the hit/miss comparison and the data retum
simultaneously.</t>
  </si>
  <si>
    <t>The cache hit latency is 8.5 ns (2.5 + 4 + 1 + 1). If both arrays take 3 ns, the latency becomes 8 ns (3 + 3 + 1 + 1), showing that equalizing access times can reduce overall latency.</t>
  </si>
  <si>
    <t>hat is the significance of the available space list in managing memory for linked stack and linked queue implementations?</t>
  </si>
  <si>
    <t>The available space list tracks free memory nodes that can be dynamically allocated or freed during push/pop or enqueue/dequeue operations, ensuring efficient memory reuse and preventing memory leaks in linked data structures.</t>
  </si>
  <si>
    <t>The available space list centralizes free nodes, enabling efficient reuse across multiple stacks or queues by linking unused memory, thus preventing fragmentation and ensuring constant-time allocation and deallocation.</t>
  </si>
  <si>
    <t>A Bloom Filter is a probabilistic data structure used in Log-Structured Merge (LSM) trees that can definitively tell you if a key exists in an SSTable.</t>
  </si>
  <si>
    <t>A Bloom filter can only definitively indicate a key's absence, not its presence.</t>
  </si>
  <si>
    <t>Each thread has its own ___:
A) Heap
B) Stack
C) Global values
D) Text data</t>
  </si>
  <si>
    <t>Each thread requires its own stack to manage its local variables and function call history independently, while the heap, global values, and text data are typically shared among all threads within the same process.</t>
  </si>
  <si>
    <t>In RSA Public Key Cryptography, why is using a small public exponent $e=3$ dangerous if the same message $m$ is sent to at least 3 different recipients with different moduli ($N_1, N_2, N_3$)?
A) It allows the private key $d$ to be factored using Coppersmith’s Attack.
B) It allows the message $m$ to be recovered using the Chinese Remainder Theorem (Håstad's Broadcast Attack).
C) It makes the encryption deterministic, allowing a chosen-plaintext attack.
D) It results in $m^e &lt; N$, making decryption trivial by taking the cube root.</t>
  </si>
  <si>
    <t>Using \( e = 3 \) and the same \( m \) with three different moduli allows an attacker to combine the three ciphertexts via the Chinese Remainder Theorem to recover \( m^3 \) modulo the product of the moduli, enabling cube root extraction to find \( m \). This is Håstad's Broadcast Attack.</t>
  </si>
  <si>
    <t>Which of the following is true about Batchnorm?
A) Batchnorm is another way of performing dropout.
B) Batchnorm makes training faster.
C) In Batchnorm, the mean is computed over the features.
D) Batchnorm is a non-linear transformation to center the dataset around the origin</t>
  </si>
  <si>
    <t>Batch normalization accelerates training by reducing internal covariate shift, stabilizing gradients. It normalizes activations per feature across the batch, not over features (C), differs from dropout (A), and centers/scales data but isn't solely for origin centering (D).</t>
  </si>
  <si>
    <t>Explain the principle of locality of reference and its significance in the design of cache memory.</t>
  </si>
  <si>
    <t>Locality of reference is the observation that programs tend to access a limited set of memory locations repeatedly within short time intervals. This can be temporal locality (repeated access to the same location) or spatial locality (access to nearby locations). Cache memory exploits this property by storing frequently accessed data close to the CPU, significantly reducing average memory access time. The effectiveness of cache depends on how well it captures the locality patterns in program behavior</t>
  </si>
  <si>
    <t>Locality of reference describes how programs tend to access data and instructions that are near recently used items, enabling cache memory to store these likely-needed items for faster access and improved system performance.</t>
  </si>
  <si>
    <t>Adding a random salt to a password before hashing it primarily serves to make the hashing process slower, thereby mitigating brute-force attacks.</t>
  </si>
  <si>
    <t>Salting prevents precomputed attacks like rainbow tables; it does not inherently slow hashing.</t>
  </si>
  <si>
    <t>In a doubly linked list, inserting a node at the beginning requires updating ______ pointers.</t>
  </si>
  <si>
    <t>Inserting at the beginning requires updating the new node's next pointer and the former head's previous pointer. If the list was initially empty, the head and tail pointers change; otherwise, these two internal links ensure bidirectional connectivity is maintained.</t>
  </si>
  <si>
    <t>Describe the advantages of using a binary search tree over a sorted array.</t>
  </si>
  <si>
    <t>A binary search tree allows dynamic insertion and deletion of elements while maintaining order, with average-case search, insert, and delete operations in O(log n) time. Sorted arrays provide fast binary search but require costly shifting on insertions and deletions. BSTs thus offer flexibility for dynamic data sets</t>
  </si>
  <si>
    <t>A binary search tree supports efficient dynamic operations like insertion and deletion in O(log n) average time, while a sorted array requires O(n) shifts for these operations, making BSTs superior for frequently updated data.</t>
  </si>
  <si>
    <t>The ________________ technique in pipeline processors uses special hardware paths to forward the result of an instruction directly to the next instruction's input, avoiding stalls caused by data hazards.</t>
  </si>
  <si>
    <t>operand forwarding</t>
  </si>
  <si>
    <t>Operand forwarding enables bypassing the register file by routing ALU results directly to inputs of subsequent instructions, reducing pipeline stalls.</t>
  </si>
  <si>
    <t>The divide and conquer algorithm design technique always yields polynomial-time algorithms.</t>
  </si>
  <si>
    <t>It can produce exponential-time algorithms like in the naive recursive Fibonacci computation.</t>
  </si>
  <si>
    <t>The complement of a Boolean function can be obtained by interchanging all AND operations with OR operations and complementing each variable in the expression.</t>
  </si>
  <si>
    <t>This process applies De Morgan's laws, which state that the complement of a product is the sum of complements.</t>
  </si>
  <si>
    <t>Explain the disadvantages of using a single-cycle datapath in a CPU implementation.
Give at least two reasons.</t>
  </si>
  <si>
    <t>With a single-cycle datapath, the clock cycle must be very long so as to accommodate the instruction that requires the longest execution time. With a single-cycle datapath, it is not possible to pipeline the execution of instructions.</t>
  </si>
  <si>
    <t>A single-cycle datapath forces all instructions to complete in one long clock cycle, making it inefficient. This design leads to poor performance due to the low clock frequency and wasted time for simpler instructions.</t>
  </si>
  <si>
    <t>Explain why many processors implements integer and floating-point register files as separate register files?</t>
  </si>
  <si>
    <t>There are two arguments for separate register files. First, on processors that execute multiple instructions in each cycle, having separate register files reduces the total area required for the register file because register files grow quadratically with the number of simultaneous accesses they support (ports). Second, having separate register files allows each of the register files to be located closer to the execution units than access it, reducing wire delay. Since integer and floating-point values are mostly independent- few values are operated on by both integer and floating-point instructions separate register files are the choice for most processors.</t>
  </si>
  <si>
    <t>Separate register files allow specialized hardware for integer and floating-point operations, enabling simultaneous execution and optimizing area and power by tailoring each file's bit-width and access logic to its specific data type.</t>
  </si>
  <si>
    <t>Given a table `Sales(Product, Region, Amount)`, which of the following queries are syntactically valid and logically correct SQL? (Select all that apply.)
A) `SELECT Product, SUM(Amount) FROM Sales WHERE SUM(Amount) &gt; 100 GROUP BY Product`
B) `SELECT Product, SUM(Amount) FROM Sales GROUP BY Product HAVING SUM(Amount) &gt; 100`
C) `SELECT Region, AVG(Amount) FROM Sales GROUP BY Region`
D) `SELECT Product, Region, MAX(Amount) FROM Sales GROUP BY Product`</t>
  </si>
  <si>
    <t>B and C are valid: HAVING filters aggregates after GROUP BY, and AVG with GROUP BY is correct. A is invalid because WHERE cannot use aggregates; D is invalid because Region is not aggregated or grouped.</t>
  </si>
  <si>
    <t>The recurrence for the Tower of Hanoi with N disks is given by T(N)=2T(N-1)+1. Solving this recurrence yields which asymptotic complexity?
A) O(N log N)
B) O(N^2)
C) O(N)
D) O(2^N)</t>
  </si>
  <si>
    <t>The recurrence solves to \(T(N) = 2^N - 1\), which is exponential. The other options represent polynomial or linearithmic growth, which are fundamentally slower than exponential growth.</t>
  </si>
  <si>
    <t>Regarding the implementations and operations of stacks: (Select all that apply.)
A) A stack implemented using linked lists requires O(1) time for push and pop operations.
B) Infix expressions require parentheses to specify precedence, which is not needed in postfix notation.
C) Multiple stacks can be implemented within a single array to optimize space.
D) Recursive functions do not use stacks for their implementation.</t>
  </si>
  <si>
    <t>A linked-list stack has O(1) push/pop. Infix needs parentheses for precedence, unlike postfix. Multiple stacks can share one array for space efficiency. Recursive functions use the call stack, making D incorrect.</t>
  </si>
  <si>
    <t>Which of the following pertain to microprogram sequencing in microprogrammed control? (Select all that apply.)
A) Microprogram address inputs include instruction code and status bits.
B) Multiplexers select the next microinstruction address based on conditions.
C) Microprograms do not support subroutine calls.
D) Input logic circuits enable various sequencing operations like jump, call, and return.</t>
  </si>
  <si>
    <t>Microprogram sequencing uses instruction code and status bits as address inputs (A), multiplexers to select addresses based on conditions (B), and input logic for jumps, calls, and returns (D). Subroutine calls are supported, making C incorrect.</t>
  </si>
  <si>
    <t>This is about Binary Arithmetic and Logical Operations. The value the following C code ```printf("%d\n",0x00000011ˆ0xFFFFFFF1);``` will print is  ______ .</t>
  </si>
  <si>
    <t>XORing 0x00000011 with 0xFFFFFFF1 flips their differing bits, yielding 0xFFFFFFE0. Interpreted as a signed 32-bit two’s-complement integer, 0xFFFFFFE0 equals −(0x00000020) = −32, which printf prints as –32.</t>
  </si>
  <si>
    <t>A hard disk with 5 platters has 2048 tracks/platter, 1024 sectors/track (fixed number of sectors per track), and 512 byte sectors. What is the total storage capacity of the disk in megabytes (MB)? Assume 1 MB = 2^20 bytes.
A) 5,120 MB
B) 5,242 MB
C) 10,485 MB
D) 10,240 MB</t>
  </si>
  <si>
    <t>Each platter gives 5 recording surfaces. Total capacity = 5 × 2048 × 1024 × 512 = 5 × 2^30 = 5,120 MB.</t>
  </si>
  <si>
    <t>When running an infinite loop on a shared server, it will usually be the case that the operating system will still occasionally switch to other programs, even if the server only has one core. How can the operating system do this? (Select all that apply.)
A) before starting the infinite loop program, the operating system can setup a timer for the hardware to run operating system code that switches away to another program
B) the hardware will run operating system code when certain I/O devices like keyboard signal the processor, even if they aren’t being used the currently active program
C) the hardware periodically swaps pages from DRAM to memory, so the infinite loop will eventually experience a page fault, even if the operating system is not otherwise run
D) assuming an out-of-order processor, the program will eventually run out of free physical registers, so the hardware will run the operating system to handle this situation</t>
  </si>
  <si>
    <t>The OS can preempt via timer interrupts (A) or device interrupts (B). Page faults (C) are not guaranteed for a simple loop, and register exhaustion (D) is a microarchitectural issue, not a standard OS preemption mechanism.</t>
  </si>
  <si>
    <t>A cache has a hit rate of 95 percent, 128-byte lines, and a cache hit latency of 5 ns.
The main memory takes 100 ns to return the first word (32 bits) of a line, and 10 ns to return each subsequent word. If doubling the cache line length reduces the miss rate to 3 percent, does it reduce the average memory access time?</t>
  </si>
  <si>
    <t>The cache has 128-byte lines, which is 32 words. Using the specified memory timings, the cache spends 5ns detecting that a miss has occurred, and 100 ns + 31(10 ns) = 410ns fetching a line from the main memory into the cache. The cache then reexecutes the operation that caused the miss, taking 5 ns. This gives a cache miss time of 420 ns. For the base cache, the average memory access time is (0.95 x 5 ns) + (0.05 x 420 ns) = 25.75 ns. If we double the cache line length, cache lines become 64 words long and take 730ns to fetch from memory, so the cache miss latency becomes 740 ns. Average memory access time becomes (0.97 x 5 ns) + (0.03 x 740 ns) = 27.1 ns, so the average memory access time increases if we make this change.</t>
  </si>
  <si>
    <t>A satisfactory answer must compute average memory access time (AMAT) for both line sizes, using the given latencies and miss rates, and compare them to determine if AMAT decreases. It should cover the formula AMAT = hit time + miss rate × miss penalty, and calculate miss penalties based on memory access patterns.</t>
  </si>
  <si>
    <t>What is the time complexity for accessing an element at a specific index in a one-dimensional array?
A) O(n)
B) O(log n)
C) O(1)
D) O(n^2)</t>
  </si>
  <si>
    <t>Accessing an element by index in an array is a direct memory address calculation, requiring a constant number of operations regardless of array size, which defines O(1) time complexity.</t>
  </si>
  <si>
    <t>In the "Clock" page replacement algorithm (an approximation of LRU), what happens when a page is accessed (referenced) while it is currently in the buffer pool?
A) It is moved to the "Most Recently Used" end of the queue.
B) Its reference bit is set to 1.
C) Its reference bit is set to 0.
D) The clock hand is immediately moved to point to this page.</t>
  </si>
  <si>
    <t>In the Clock algorithm, accessing a page sets its reference bit to 1, indicating recent use. This bit is checked during eviction; the hand sweeps past pages with a bit of 1, clearing them to 0, until finding a page with a bit of 0 to replace.</t>
  </si>
  <si>
    <t>Which of the following data structures are appropriate to represent sparse matrices efficiently? (Select all that apply.)
A) One-dimensional arrays
B) Singly linked lists
C) Multiply linked lists
D) Unrolled linked lists</t>
  </si>
  <si>
    <t>Singly, multiply, and unrolled linked lists efficiently store non-zero elements by using pointers, avoiding the memory waste of one-dimensional arrays in sparse contexts. These structures accommodate variable dimensions and complex relationships between non-zero values while maintaining space efficiency.</t>
  </si>
  <si>
    <t>TLS 1.3 introduced "0-RTT" (Zero Round Trip Time) resumption to improve performance. What is the primary security risk introduced by this feature that was not present in standard 1-RTT handshakes, and how must applications handle it?
A) Man-in-the-Middle (MitM) attacks because the ServerHello is not authenticated.
B) Replay attacks, meaning the application must effectively ensure requests are idempotent.
C) Downgrade attacks to TLS 1.2.
D) Loss of Perfect Forward Secrecy (PFS) for the 0-RTT data.</t>
  </si>
  <si>
    <t>TLS 1.3's 0-RTT resumption allows early data to be sent with the ClientHello, which an attacker can capture and replay. The other options are incorrect because 0-RTT maintains PFS, authenticates all handshake messages, and does not inherently cause downgrades.</t>
  </si>
  <si>
    <t>Which of the following is a priority queue implementation feature is true? 
A) Elements are always dequeued in the order they were enqueued. 
B) Elements are dequeued based on their priority, which could be computed as C mod 3 for some integer C. 
C) Priority queues cannot be implemented using linked lists. 
D) Priority queues always have constant time insertion and deletion.</t>
  </si>
  <si>
    <t>B is correct because priority queues dequeue based on priority, which can be any ordering scheme, such as a computed value like C mod 3. A is false as it describes a regular queue. C is false since linked lists can implement priority queues. D is false because insertion and deletion are typically O(log n) for efficient implementations.</t>
  </si>
  <si>
    <t>Consider the following algorithm:
declare a stack of characters while ( there are more characters in the word to read ) { read a character and push the character on the stack } while ( the stack is not empty ) { pop a character off the stack and write the character to the screen }
The input written to the screen for the input “school” is ___ and the stack operation that could result in stack overflow is ___ :
A) school, push
B) sscchhooooll, pop
C) loohcs, push
D) loohcs, isEmpty</t>
  </si>
  <si>
    <t>The algorithm reverses the input by pushing all characters onto the stack and then popping them off, so "school" becomes "loohcs." Stack overflow occurs during the push operation if the stack's capacity is exceeded.</t>
  </si>
  <si>
    <t>Which of the following hash functions is vulnerable to "Length Extension Attacks," allowing an attacker to compute H(message || padding || suffix) given only H(message) and the length of the message, without knowing the message content?
A) SHA-3
B) SHA-256
C) HMAC-SHA256
D) BLAKE2</t>
  </si>
  <si>
    <t>SHA-256, as a Merkle-Damgård construction, is vulnerable because its internal state after processing the message can be extended. SHA-3 uses a sponge construction, HMAC incorporates a key, and BLAKE2 uses a HAIFA structure, all of which prevent this attack.</t>
  </si>
  <si>
    <t>Consider the query: `SELECT Department, COUNT(*) FROM Employees WHERE Salary &gt; 50000 GROUP BY Department`. If a specific Department has 5 employees, but NO employee in that department earns &gt; 50000, what will the result set contain for that Department?
A) A row with count 0.
B) A row with count NULL.
C) No row for that Department.
D) An error.</t>
  </si>
  <si>
    <t>The GROUP BY clause only includes groups that satisfy the WHERE condition; since no employee in that department has a salary &gt; 50000, the department is filtered out before grouping, resulting in no row.</t>
  </si>
  <si>
    <t>Which one of the following is NOT contained in an ELF executable file?
A) Machine code
B) Global variables
C) User stack
D) Symbol table</t>
  </si>
  <si>
    <t>The user stack is dynamically allocated at runtime, not stored in the ELF file. The file contains static components like machine code (A), initialized global data (B), and the symbol table (D) for linking and debugging.</t>
  </si>
  <si>
    <t>In an AVL tree, if the balance factor of a node is -1, what does it indicate?
A) The left sub-tree is one level higher than the right sub-tree.
B) The right sub-tree is one level higher than the left sub-tree.
C) The node is perfectly balanced.
D) The node violates AVL property.</t>
  </si>
  <si>
    <t>The balance factor is defined as left subtree height minus right subtree height. A value of -1 means the right subtree is taller by one level, which is within the AVL tree's allowed balance range of -1, 0, or 1.</t>
  </si>
  <si>
    <t>Which of the following statements are true? (Select all that apply.)
A) A Linux operating system cannot run on a RISC-V ISA-based computer.
B) RV32I assembly program cannot be executed on an ARM ISA-based machine
directly.
C) A Linux executable file cannot run natively on the other operating systems.
D) A Python program can execute on any operating systems based on any ISAs
given an appropriate Python interpreter.</t>
  </si>
  <si>
    <t>B is true because ISAs are incompatible without translation. C is true as OSes manage resources differently, requiring compatible system calls. D is true since interpreters abstract hardware and OS details. A is false because Linux has been ported to RISC-V.</t>
  </si>
  <si>
    <t>Consider the following piece of code, where out.txt’s contents are “abc”:
int main(int argc, char** argv) { int fd = open("out.txt", O_RDWR); char str[] = "xyz"; char c; write(fd1, str, 1); read(fd1, &amp;c, 1); write(fd1, &amp;c, 1); return 0; }
What is the contents of out.txt after the code is run? Assume all system calls succeed.
A) xbb
B) xba
C) xac
D) boat</t>
  </si>
  <si>
    <t>The file initially contains "abc". After writing 'x' at offset 0, reading from offset 1 gives 'b', and writing that 'b' at offset 2 yields "xbb". The file descriptor's offset advances sequentially with each operation.</t>
  </si>
  <si>
    <t>Which of the following are characteristics or applications of multi-linked lists? (Select all that apply.)
A) Each node in a multi-linked list can have multiple pointers to other nodes.
B) Multi-linked lists are a special case of doubly linked lists with exactly two pointers per node.
C) Multi-linked lists can be used to efficiently store sparse matrices.
D) In a multi-linked list, inverse pointers for every pointer are mandatory.</t>
  </si>
  <si>
    <t>A multi-linked list allows nodes with multiple pointers, enabling flexible structures like sparse matrices. Doubly linked lists are a specific two-pointer case, not the general form, and inverse pointers are optional, not required.</t>
  </si>
  <si>
    <t>______ register keeps tracks of the instructions stored in program stored in memory.</t>
  </si>
  <si>
    <t>Program Counter</t>
  </si>
  <si>
    <t>The Program Counter (PC) holds the memory address of the next instruction to be fetched and executed, enabling the processor to sequence through a program.</t>
  </si>
  <si>
    <t>Suppose you have a CNN model for image classification, with multiple Conv, Max pooling, ReLU activation layers, and a final Softmax output. Ignoring the bias and numerical precision issues, which of the statements below are true? (Select all that apply.)
A) Multiplying the weights by a factor of 10 during inference does not aﬀect the prediction accuracy.
B) Multiplying the weights by a factor of 10 during training does not aﬀect training convergence.
C) Multiplying the input data by a factor of 10 during inference does not aﬀect the prediction accuracy.
D) Subtracting the input data by its mean per channel during inference does not aﬀect the prediction accuracy.</t>
  </si>
  <si>
    <t>Scaling weights or inputs preserves the class ordering because ReLU and Max pooling are positively homogeneous, and Softmax is scale-invariant. Training convergence depends on gradient magnitudes, and mean subtraction shifts feature distributions, altering the non-linear activations.</t>
  </si>
  <si>
    <t>How do you apply modularization criteria for a monolithic software?</t>
  </si>
  <si>
    <t>Modularity is achieved to various extents by different modularization approaches. Code
based modularity allows developers to reuse and repair parts of the application, but
development tools are required to perform these maintenance functions .Object based
modularity provides the application as a collection of separate executable files which
may be independently maintained and replaced without redeploying the
entire application.</t>
  </si>
  <si>
    <t>A satisfactory answer must identify key criteria like high cohesion and low coupling, explain how to decompose the system into independent modules, and justify choices to improve maintainability and scalability.</t>
  </si>
  <si>
    <t>COCOMO stands for __________ .</t>
  </si>
  <si>
    <t>COnstructive COst Model</t>
  </si>
  <si>
    <t>COCOMO stands for COnstructive COst Model, a software cost estimation method developed by Barry Boehm that predicts effort and schedule based on project size and complexity.</t>
  </si>
  <si>
    <t>Memory mapped I/O uses the same address space for both memory and input-output devices.</t>
  </si>
  <si>
    <t>I/O devices are accessed via memory addresses within the CPU's unified address space.</t>
  </si>
  <si>
    <t>How do logarithmic loops differ from linear loops in terms of algorithm efficiency, and why is this distinction important?</t>
  </si>
  <si>
    <t>Logarithmic loops change the loop control variable multiplicatively (either multiplying or dividing), drastically reducing the number of iterations compared to linear loops, which increment or decrement by fixed amounts. This results in logarithmic time complexity, making algorithms with such loops highly efficient for large inputs. Recognizing this distinction helps in designing algorithms that scale well.</t>
  </si>
  <si>
    <t>Logarithmic loops reduce problem size by a factor each iteration, achieving O(log n) efficiency, while linear loops process each element once for O(n). This distinction is crucial for evaluating scalability and performance in large datasets.</t>
  </si>
  <si>
    <t>Subtraction is performed on two 8-bit unsigned numbers: (00001011)_2 − (01111111)_2. This leads to an underflow.</t>
  </si>
  <si>
    <t>Subtracting a larger number from a smaller one in unsigned arithmetic results in a borrow, not an underflow, as underflow is specific to floating-point operations.</t>
  </si>
  <si>
    <t>Describe the difference between top-down and bottom-up approaches in algorithm design and explain why a blend of both is often necessary.</t>
  </si>
  <si>
    <t>The top-down approach decomposes an algorithm into smaller modules stepwise, focusing on ease of documentation, testing, and implementation. In contrast, the bottom-up approach builds complex modules by combining simpler ones, emphasizing encapsulation and information hiding. A strict adherence to either approach can be limiting; therefore, blending both allows designers to benefit from modular clarity while ensuring reusable and well-encapsulated components.</t>
  </si>
  <si>
    <t>Top-down design decomposes problems into subproblems, while bottom-up builds solutions from base cases. A blend is necessary because pure top-down can be inefficient, and pure bottom-up may lack clarity; combining them balances abstraction with optimization.</t>
  </si>
  <si>
    <t>What is the role of the accumulator (AC) in a basic computer, and how do microoperations involving the AC facilitate arithmetic and logical computations?</t>
  </si>
  <si>
    <t>The accumulator serves as a central register for arithmetic and logic operations. It temporarily stores operands and results. Microoperations on the AC include loading data from memory or registers, performing arithmetic like addition or subtraction, and logical operations such as AND or complement. These microoperations are controlled by signals that enable the transfer of data into or out of the AC and apply the ALU functions. Using the AC simplifies the CPU design by centralizing computation and reducing the number of registers required for operations.</t>
  </si>
  <si>
    <t>The accumulator stores intermediate results and operands; microoperations like ADD, SHIFT, and AND enable arithmetic and logic by processing AC's contents with other registers, forming the core of the CPU's execution unit.</t>
  </si>
  <si>
    <t>Which one of the following addresses is 8-byte aligned?
A) 11101101011101112
B) 11101101011101002
C) 11101101011100002
D) 11101101011101102</t>
  </si>
  <si>
    <t>An address is n-byte aligned if it is a multiple of n. For 8-byte alignment, the address must be divisible by 2^3, meaning the three least significant bits must be zero. Only option C satisfies this binary requirement.</t>
  </si>
  <si>
    <t>In Basic Timestamp Ordering (T/O) concurrency control, what happens when a transaction $T$ (timestamp $TS_T$) tries to Write to object $X$ (which has read-timestamp $RTS_X$ and write-timestamp $WTS_X$)? (Select all that apply.)
A) If $TS_T &lt; RTS_X$, transaction $T$ must abort.
B) If $TS_T &lt; WTS_X$, transaction $T$ must abort (unless using Thomas Write Rule).
C) If $TS_T &lt; WTS_X$, transaction $T$ overwrites $X$ anyway, because its value is "newer" logically.
D) If $TS_T &gt; WTS_X$, transaction $T$ is allowed to write, and $WTS_X$ is updated to $TS_T$.</t>
  </si>
  <si>
    <t>In Basic T/O, if \(TS_T &lt; RTS_X\), \(T\) must abort because a later transaction already read \(X\). If \(TS_T &lt; WTS_X\), \(T\) aborts unless using Thomas Write Rule. If \(TS_T &gt; WTS_X\), \(T\) writes and \(WTS_X\) updates to \(TS_T\).</t>
  </si>
  <si>
    <t>Why is worst-case time complexity often preferred over average-case complexity in critical systems, and what are the challenges in analyzing average-case complexity?</t>
  </si>
  <si>
    <t>Worst-case time complexity provides an upper bound on the running time, ensuring that even in the most unfavorable situations, the algorithm performs within acceptable limits. This predictability is vital for critical systems such as nuclear reactors where failure to respond promptly could be catastrophic. Average-case complexity is harder to analyze because it requires assumptions about the distribution of inputs and often involves complex probability calculations, which may not accurately reflect real-world scenarios</t>
  </si>
  <si>
    <t>Worst-case guarantees safety for critical systems, while average-case analysis is challenging due to difficulty in defining realistic input distributions and mathematical complexity.</t>
  </si>
  <si>
    <t>Consider a system with 6-level page tables, 1KB page tables at each level and 4 byte page table entries. The number of page table space would be required to allow a process to access two distinct pages is ______KB where the virtual addresses only diﬀer in their most significant bit.</t>
  </si>
  <si>
    <t>A difference in the most significant bit forces a split at the root level. Both addresses share one first-level table but require unique tables for levels two through six, totaling $1 + (5 \times 2) = 11$ tables.</t>
  </si>
  <si>
    <t>The leaves of a B+ tree are arranged sequentially on disk.</t>
  </si>
  <si>
    <t>Leaf nodes are logically linked in order, but physical disk placement depends on page allocation and fragmentation over time.</t>
  </si>
  <si>
    <t>In the context of polynomial representation using linked lists, which statements are correct? (Select all that apply.)
A) Each node in the linked list represents a term of the polynomial.
B) Addition of polynomials can be efficiently performed by merging sorted linked lists.
C) Sparse matrix representation is unrelated to polynomial representation.
D) The linked list representation can handle symbolic manipulation of polynomials.</t>
  </si>
  <si>
    <t>Each node stores a term's coefficient and exponent, enabling term-wise operations. Merging sorted lists by exponent efficiently adds polynomials. Linked lists also support symbolic manipulation through dynamic term insertion and deletion, unlike sparse matrices which are structurally different.</t>
  </si>
  <si>
    <t>During a review of the Software Requirements Specification (SRS), the following requirement is flagged: "The system should be user-friendly and load pages quickly.” Which desirable characteristics of an SRS does this specific requirement violate? (Select all that apply.)
A) Correctness 
B) Verifiability 
C) Completeness 
D) Unambiguousness</t>
  </si>
  <si>
    <t>This requirement violates **verifiability** because "user-friendly" and "quickly" are subjective and not objectively measurable. It also violates **unambiguousness** as these terms are open to multiple interpretations. It does not violate correctness or completeness, as the statement itself is not factually wrong or missing.</t>
  </si>
  <si>
    <t>How does the input-output processor (IOP) improve overall system performance compared to programmed I/O?</t>
  </si>
  <si>
    <t>An IOP is a specialized processor that manages I/O operations independently of the CPU. It executes I/O programs, handles data formatting, and transfers data between devices and memory using direct memory access, reducing CPU involvement. This frees the CPU to perform other tasks concurrently, improving system throughput and efficiency. In contrast, programmed I/O requires the CPU to execute explicit instructions for every data transfer, leading to CPU idle time during slow I/O operations</t>
  </si>
  <si>
    <t>The IOP offloads I/O tasks from the CPU, allowing it to execute other instructions concurrently. This reduces CPU idle time during data transfers, improving overall system throughput and efficiency.</t>
  </si>
  <si>
    <t>Fully Homomorphic Encryption (FHE) allows arbitrary computations to be performed on encrypted data, yielding an encrypted result that, when decrypted, matches the result of the operations performed on the plaintext.</t>
  </si>
  <si>
    <t>FHE supports any computable function on ciphertexts while preserving correct decryption to the plaintext result.</t>
  </si>
  <si>
    <t>Which of the following is the correct ordering (left-to-right) of a file’s compilation cycle (a filename with no extension is an executable):
A) foo.c → foo.o → foo.s → foo
B) foo → foo.s → foo.o → foo.c
C) foo.c → foo.s → foo → foo.o
D) foo.c → foo.s → foo.o → foo</t>
  </si>
  <si>
    <t>The correct order is source (.c) to assembly (.s) to object (.o) to executable (no extension). Option D follows this, while others incorrectly reverse steps or place the executable before intermediate files.</t>
  </si>
  <si>
    <t>Amdahl’s Law: Assume you are given a program. If you are asked to parallelize its execution to achieve 5×speedup, the theoretical minimum fraction of the part in the program that could be parallelized is ______ %.</t>
  </si>
  <si>
    <t>According to Amdahl’s Law, speedup is limited by the serial fraction $S = 1 / ((1 - p) + p/N)$. For the theoretical minimum parallelizable fraction $p$, assume infinite processors where speedup $S = 1 / (1 - p)$. Solving $5 = 1 / (1 - p)$ yields $p = 0.8$, or 80%.</t>
  </si>
  <si>
    <t>Dynamic programming is mainly used when the problem exhibits:
A) Overlapping subproblems and optimal substructure
B) Only optimal substructure
C) No overlapping subproblems
D) Randomized behavior</t>
  </si>
  <si>
    <t>Dynamic programming requires both overlapping subproblems to reuse solutions and optimal substructure to combine them optimally. Without overlapping subproblems, recursion suffices; without optimal substructure, greedy methods may fail.</t>
  </si>
  <si>
    <t>Given the relation Worker(eid, name, dept, gender), where eid is a primary key, the following two queries are equivalent (that is, they return the same answer when evaluated on any instance of the Worker relation). `SELECT dept FROM Worker WHERE gender = ’F’ INTERSECT SELECT dept FROM Worker WHERE gender = ’M’`; `SELECT distinct x.dept FROM Worker x, Worker y WHERE x.gender = ’F’ AND and y.gender = ’M’`</t>
  </si>
  <si>
    <t>The queries differ because INTERSECT requires departments with both genders, while the join can pair different departments.</t>
  </si>
  <si>
    <t>Regarding integrated circuit (IC) classifications and logic families, which statements are correct? (Select all that apply.)
A) MSI devices include simple logic gates such as NANDs and NORs.
B) CMOS technology provides low power consumption compared to TTL.
C) ECL technology is best suited for high-density component integration.
D) Multiplexers are combinational circuits that select one input from multiple inputs based on selection lines.</t>
  </si>
  <si>
    <t>B is correct because CMOS uses minimal power when static, unlike TTL. D is correct as multiplexers are defined combinational selectors. A is incorrect; simple gates are SSI, not MSI. C is incorrect; ECL is for speed, not high-density integration.</t>
  </si>
  <si>
    <t>When can short counts occur?
A) When an EOF is encountered during a read
B) When a short int is used as a counter
C) When reading or writing to disk files
D) When the kernel runs out of kernel memory</t>
  </si>
  <si>
    <t>Short counts occur when a read operation returns fewer bytes than requested, often due to encountering an EOF or reading from certain sources like network sockets, making A correct. The other options describe unrelated scenarios.</t>
  </si>
  <si>
    <t>Which of the following statements are true about batch normalization? (Select all that apply.)
A) Batch normalization makes processing a single batch faster, reducing the training time while keeping the number of updates fixed. This allows the network to spend the same amount of time performing more updates to reach the minima.
B) Batch normalization weakens the coupling between earlier/later layers, which allows for independent learning.
C) Batch normalization normalizes the output distribution to be more uniform across dimensions.
D) Batch normalization mitigates the eﬀects of poor weight initialization and allows the network to initialize our weights to smaller values close to zero.</t>
  </si>
  <si>
    <t>Batch normalization reduces internal covariate shift by standardizing layer inputs, which decouples layer dependencies and ensures more uniform feature distributions. However, it increases per-batch computation time due to extra calculations. It also facilitates higher learning rates rather than smaller initial weights.</t>
  </si>
  <si>
    <t>Which of the following is the best justification for using the middle bits of an address as the set index into a cache rather than the most significant bits?
A) Indexing with the most significant bits would necessitate a smaller cache than is possible with
middle-bit indexing, resulting in generally worse cache performance.
B) It is impossible to design a system that uses the most significant bits of an address as the set
index.
C) The process of determining whether a cache access will result in a hit or a miss is faster using
middle-bit indexing.
D) A program with good spatial locality is likely to make more efficient use of the cache with
middle-bit indexing than with high-bit indexing.</t>
  </si>
  <si>
    <t>Middle-bit indexing spreads consecutive addresses across different sets, reducing conflicts when accessing arrays with good spatial locality. Other options are incorrect because high-bit indexing is possible but causes poor performance due to frequent conflicts in sequential accesses.</t>
  </si>
  <si>
    <t>Which of the following are true about memory organization and hierarchy? (Select all that apply.)
A) Cache memory stores frequently used data closer to the CPU.
B) Auxiliary memory has larger capacity but slower access than main memory.
C) Memory interleaving allows simultaneous access to multiple memory modules.
D) Associative memory is less expensive than random access memory.</t>
  </si>
  <si>
    <t>Cache memory is fast and close to the CPU for frequent data. Auxiliary memory is high-capacity but slower than main RAM. Interleaving enables parallel module access for speed. Associative memory is specialized and more expensive than standard RAM.</t>
  </si>
  <si>
    <t>"DNS Rebinding" is an attack where a malicious website subverts the Same-Origin Policy (SOP) by rapidly changing the IP address associated with its domain name from a public IP to a private internal IP (e.g., 192.168.1.1) in the victim's DNS cache.</t>
  </si>
  <si>
    <t>Changing the IP allows scripts to bypass origin checks and access internal network resources via the browser.</t>
  </si>
  <si>
    <t>In an RSA system with public key $(n, e)$ and private key $d$, which of the following mathematical properties must hold true? (Select all that apply.)
A) $n$ is the product of two large distinct primes $p$ and $q$.
B) $e$ must be coprime to $n$.
C) $e$ must be coprime to $\phi(n)$ (Euler's totient of $n$).
D) $d \cdot e \equiv 1 \pmod{\phi(n)}$.</t>
  </si>
  <si>
    <t>In RSA, \(n = pq\) for distinct primes \(p\) and \(q\), and \(e\) must be coprime to \(\phi(n)\) so that \(d\) exists with \(de \equiv 1 \pmod{\phi(n)}\). While \(e\) is coprime to \(n\) in practice, it is not a strict requirement.</t>
  </si>
  <si>
    <t>You are building a classification model to distinguish between labels from a synthetically generated dataset. More specifically, you are given a dataset, \{(x^{(i)}, y^{(i)})\}_{i=1}^m, \quad x^{(i)} \i \mathbb{R}^2,\; y^{(i)} \in \{0,1\}.  The data is generated with the scheme: X|Y = 0 ∼ N(2,2); X|Y = 1 ∼ N(0,3); You can assume the dataset is perfectly balanced between the two classes. As a baseline, you decide to use a logistic regression model to fit the data. Since the data is synthesized easily, you can assume you have infinitely many samples (i.e. m →∞). Can your logistic regression model achieve 100% training accuracy? Explain your answer.</t>
  </si>
  <si>
    <t>No. The standard deviations of the two distributions are large enough
that a significant proportion of the samples won’t be separable by a linear decision
boundary (the type drawn by logistic regression).</t>
  </si>
  <si>
    <t>No, because logistic regression assumes linear decision boundaries, but the optimal Bayes classifier for these Gaussian classes with different variances is quadratic, so even with infinite data, logistic regression cannot perfectly separate the classes.</t>
  </si>
  <si>
    <t>It is possible that a relation might not have a super key. In this case the database designer must add an attribute that gives the relation a super key.</t>
  </si>
  <si>
    <t>A relation always has at least one super key, which is the set of all its attributes.</t>
  </si>
  <si>
    <t>In a stream cipher like ChaCha20 or RC4, encrypting two different messages with the same Key and Nonce results in the ciphertext being the ______ of the two plaintexts.</t>
  </si>
  <si>
    <t>XOR</t>
  </si>
  <si>
    <t>In a stream cipher, the keystream is XORed with the plaintext. Using the same key and nonce regenerates the identical keystream, so the resulting ciphertexts are the XOR of the two plaintexts with that same keystream.</t>
  </si>
  <si>
    <t>Why would the kernel designer opt for a 2-level page table when a full 2-level page table takes up
more memory than a full 1-level page table?
A) 2-level tables can translate virtual addresses faster.
B) 2-level tables can reference more memory than 1 level tables.
C) Most of the time, a 2-level page table will take up less memory than a 1 level page table.
D) They wouldn’t. Adding more tables offers no advantages.</t>
  </si>
  <si>
    <t>A 2-level page table saves memory because it only allocates second-level tables for regions of the virtual address space that are actually in use, whereas a 1-level table requires a full, contiguous allocation for the entire address space.</t>
  </si>
  <si>
    <t>Assuming no errors, which one of the following statements about execve is true?
A) Called once, returns once.
B) Called once, returns twice.
C) Called once, returns never.
D) Called twice, returns once.</t>
  </si>
  <si>
    <t>The `execve` system call replaces the current process image with a new one; if successful, it does not return to the calling code, making "called once, returns never" the correct description.</t>
  </si>
  <si>
    <t>The height of a complete binary tree with n nodes is at least ______ and at most n.</t>
  </si>
  <si>
    <t>log2(n+1)</t>
  </si>
  <si>
    <t>A complete binary tree achieves minimum height when it is perfectly balanced, resulting in a logarithmic depth of $log_2(n+1)$. This lower bound occurs because each level must be fully filled before starting the next, minimizing the path length.</t>
  </si>
  <si>
    <t>The time complexity of inserting an element in a chained hash table is O(1) on average, but searching may take O(m) time where m is the number of elements in the list at a particular index.</t>
  </si>
  <si>
    <t>Insertion requires only a constant-time head update, while searching necessitates a linear traversal of the specific chain's length.</t>
  </si>
  <si>
    <t>Why is it important to place non-linearities between the layers of neural networks?</t>
  </si>
  <si>
    <t>Non-linearity introduces more degrees of freedom to the model. It lets it capture more complex representations which can be used towards the task at hand. A deep neural network without non-linearities is essentially a linear regression.</t>
  </si>
  <si>
    <t>Non-linearities enable neural networks to learn complex, non-linear functions; without them, the network would collapse into a single linear transformation, severely limiting its representational power and ability to model real-world data patterns.</t>
  </si>
  <si>
    <t>Which of the following are copied on fork and preserved on exec?
A) Global variables.
B) File descriptor tables.
C) Open file entry structs.
D) None of the above.</t>
  </si>
  <si>
    <t>On fork, the child's file descriptor table is copied from the parent. On exec, file descriptors remain open (unless marked close-on-exec). Global variables are copied on fork but replaced on exec. Open file entries are shared, not copied, on fork.</t>
  </si>
  <si>
    <t>In the following code, a parent opens a file twice, then the child reads a character:
```char c; int fd1 = open("foo.txt", O_RDONLY); int fd2 = open("foo.txt", O_RDONLY); if (!fork()) {
read(fd1, &amp;c, 1); }``` Clearly, in the child, fd1 now points to the second character of foo.txt. Which of the following is now true in the parent?
A) fd1 and fd2 both point to the first character.
B) fd1 and fd2 both point to the second character.
C) fd1 points to the first character while fd2 points to the second character.
D) fd2 points to the first character while fd1 points to the second character.</t>
  </si>
  <si>
    <t>After a fork, parent and child share the same open file table entries for fd1. Thus, the child's read updates the shared offset for fd1 to the second character, while fd2 remains at the first.</t>
  </si>
  <si>
    <t>__________ is a self-adjusting binary search tree that moves accessed elements closer to the root to optimize subsequent accesses.</t>
  </si>
  <si>
    <t>Splay tree</t>
  </si>
  <si>
    <t>A Splay tree is a self-adjusting BST that uses splay operations to move recently accessed nodes to the root, improving future access times through locality of reference and amortized O(log n) performance.</t>
  </si>
  <si>
    <t>You are estimating effort for a 10 KLOC project using COCOMO. The initial size-based estimate is 30 Person-Months (PM). You must now apply Cost Drivers. The project has "Very High" reliability requirements (multiplier 1.40) and uses "Modern Tools" (multiplier 0.91). Which of the following statements about the estimation process and results are accurate? (Select all that apply.)
A) The final effort estimate will be higher than 30 PM because the high reliability need outweighs the benefit of tools. 
B) The Effort Adjustment Factor (EAF) is calculated by summing the multipliers (1.40 + 0.91). 
C) "Analyst Capability" is another cost driver that could significantly influence the EAF. 
D) Size (KLOC) is the primary factor controlling effort, but cost drivers adjust for project environment.</t>
  </si>
  <si>
    <t>The effort adjustment factor is calculated by multiplying cost drivers, not adding them. Since $1.40 \times 0.91 &gt; 1$, the final effort exceeds 30 PM. Personnel capabilities and environmental factors act as multipliers to refine size-based base estimates.</t>
  </si>
  <si>
    <t>In an Invalid Curve Attack against ECDH, if the victim's implementation does not validate that the received public point lies on the correct curve, the computation effectively takes place on a "twist" curve which often has a smooth ______, allowing the attacker to solve the Discrete Logarithm problem easily.</t>
  </si>
  <si>
    <t>Order</t>
  </si>
  <si>
    <t>The attack exploits a curve's twist, which often has a smooth order (i.e., many small prime factors), enabling efficient computation of the discrete logarithm via methods like Pollard's rho or Pohlig-Hellman.</t>
  </si>
  <si>
    <t>Variable elimination on this cyclic graph with elimination order (5,4,3,2) creates intermediate factors of size at most K³, as eliminating X4 joins factors from X1, X3, and X5, leading to O(K³) complexity.</t>
  </si>
  <si>
    <t>Which of the following cryptographic hash algorithms are susceptible to Length Extension Attacks? (Select all that apply.)
A) MD5
B) SHA-1
C) SHA-256
D) SHA-3 (Keccak)</t>
  </si>
  <si>
    <t>MD5, SHA-1, and SHA-256 are all based on the Merkle-Damgård construction, which inherently allows an attacker to append data to a hash without knowing the original input. SHA-3 uses the sponge construction, which is not vulnerable to this type of attack.</t>
  </si>
  <si>
    <t>The concurrency anomaly where a transaction re-executes a range query and finds a set of rows that satisfy the condition which were not visible in the previous execution (due to insertions by another transaction) is called a ______.</t>
  </si>
  <si>
    <t>Phantom</t>
  </si>
  <si>
    <t>"Phantom" is about the presence of new rows.</t>
  </si>
  <si>
    <t>Which of the following statements are true about entries placed into the TLB (translation lookaside buﬀer)? (Select all that apply.)
A) Only valid page table entries are placed into the TLB on TLB misses.
B) The ISA will generally include an instruction that invalidates TLB entries
C) The processor will update a TLB entry whenever the corresponding page table entry is written to.
D) The TLB helps translate physical addresses to virtual addresses</t>
  </si>
  <si>
    <t>Invalid entries cause page faults rather than TLB caching, and ISAs provide invalidation instructions to maintain coherence. TLB updates aren't automatic upon memory writes, and the TLB translates virtual addresses to physical ones, not the reverse.</t>
  </si>
  <si>
    <t>Data Structures and Algorithms</t>
  </si>
  <si>
    <t>is_calculation</t>
  </si>
  <si>
    <t>random_sort</t>
  </si>
  <si>
    <t xml:space="preserve">Total: </t>
  </si>
  <si>
    <t>The optimized division algorithm comes from shifting theoperands and the quotient simultaneously with the subtraction. This refinement halves the width of the adder and registers by noticing where thereare unused portions of registers and adders.</t>
  </si>
  <si>
    <t>Which of the following is/are FALSE? (Select all that apply.)
A. In hash functions, weak collision resistance suffers from the birthday paradox.
B. In Authenticated Encryption with Associated Data, the associated data is not encrypted.
C. In Stream Cipher, the length of keystream to be used must be equal to the length of plaintext to be encrypted.
D. In CBC mode, a plaintext block to be encrypted should be XORed by the last plaintext block before being processed by a block cipher.</t>
  </si>
  <si>
    <t xml:space="preserve">Which of the following are/is TRUE? (Select all that apply.)
A. To protect a message by CBC, IV in decryption must be equal to IV in encryption.
B. None of the modes of operations in AES provide integrity.
C. In Bitlocker, Volume Master Key is protected by Full Volume Encryption Key.
D. X25519 curve defines a specific 𝑝 and 𝑔 for Diffie-Hellman. </t>
  </si>
  <si>
    <t>Which of the following is/are FALSE? (Select all that apply.)
A. A 4-unit password with 4 possibilities per unit requires at least 8 bits for binary representation.
B. To calculate hashes efficiently, it prefers to use GPUs instead of CPUs.
C. In Rainbow Tables, given a hash, a reduction function is to find a password whose hash is equal to the input hash.
D. Given a message of 14 bytes, its AES ciphertext is of 14 bytes.</t>
  </si>
  <si>
    <t xml:space="preserve">Which of the following is/are FALSE? (Select all that apply.)
A. Diffie-Hellman cannot be used for signing signature.
B. A self-signed certificate cannot inherit trust from other certificates.
C. If a user uses FIDO2 to log in to a system, it does not provide a password to server.
D. In Authenticated Encryption, MAC-then-Encrypt is better than Encrypt-then-MAC. </t>
  </si>
  <si>
    <t>Which of the following statements is/are correct? (Select all that apply.)
A. Hashing a password 𝑝 with a SHA-2 function ℎ(𝑥) is a recommended approach.  
B. In system design, a security measure introduces additional costs.
C. A hash function SHA-384 is based on Merkle-Damgård construction.
D. A hash function does not provide confidentiality.</t>
  </si>
  <si>
    <t xml:space="preserve">Which of the following is/are FALSE? (Select all that apply.)
A. NIST does not require to force the use of special symbols in password currently.
B. Cryptoanalysis is about how to attack a cryptosystem.
C. A truly random number is generated by an algorithm through a seed.
D. To encrypt one message, in each step, a stream cipher generates one binary keystream bit for encryption. </t>
  </si>
  <si>
    <t>Which of the following is/are TRUE? (Select all that apply.)
A. In (non-pseudo) Random Permutation, the size of its input is equal to the size of its output. 
B. In AES, the size of key (used to derive round keys) does not need to be equal to the block size. 
C. In a web server, the subject name of its certificate is usually its domain name. 
D. HTTPS is HTTP protocol protected by TLS.</t>
  </si>
  <si>
    <t>Consider which of the statements is/are correct: (Select all that apply.)
A. First-in-first out types of computations are efficiently supported by STACKS.
B. Implementing LISTS on linked lists is more efficient than implementing LISTS on an array for almost all the basic LIST operations.
C. Implementing QUEUES on a circular array is more efficient than implementing QUEUES on a linear array with two indices.
D. Last-in-first-out type of computations are efficiently supported by QUEUES.</t>
  </si>
  <si>
    <t>Consider a binary max-heap implemented using an array. Which among the following arrays represents a binary max-heap? (Select all that apply.)
A. 25,12,16,8,10,13,14
B. 25,12,16,13,10,8,14
C. 25,14,16,13,10,8,12
D. 25,14,12,13,10,8,16</t>
  </si>
  <si>
    <t>Machines must have structures in place that allows them to acquire, build, and understand language. To do this, programs use operations like: (Select all that apply.)
A. Text Analytics
B. Word Frequency
C. Stemming
D. Sentiment Analysis</t>
  </si>
  <si>
    <t>Which one of the following is/are the ways to reduce bias? (Select all that apply.)
A.Create guidelines for avoiding and eliminating biased data selection and document bias when it does occur so that it can be identified and mitigated.
B. Test and evaluate learning models before being placed in production.
C. Create a plan for selecting accurate and representative data. Review the nature of the data selection field in order to understand the best way to select clean data.
D. Keep the data selection process and data cleansing private. Making this process available for external review will cause biased data.
E. Identify potential data bias sources, selections, and risks. Eliminate or mitigate biased data.</t>
  </si>
  <si>
    <t>Consider that the name server authoritative for mit.edu maps csail.mit.edu to IP1. Similarly, the name server for berkeley.edu maps eecs.berkeley.edu to IP2. There is no entry at berkeley.edu for csail.berkeley.edu. When a client queries the mit.edu name server to resolve csail.berkeley.edu, which of the following best describes what mit.edu returns? (Select all that apply.)
A. An A record mapping csail.berkeley.edu to IP1, since csail is associated with IP1 within mit.edu  
B. An NS record for berkeley.edu, as this is the nameserver for berkeley.edu 
C. An NS record for .edu, since this is the nameserver common to mit.edu and berkeley.edu  
D. None of the above</t>
  </si>
  <si>
    <t>Consider an administrator who manages the name server for the berkeley.edu domain and wants to add a host called csail.berkeley.edu. Which of the following is accurate? (Select all that apply.)
A. The process must be coordinated with mit.edu, since they already have a host named csail. 
B. The new name must not map to IP2, since DNS does not allow duplicate IP addresses. 
C. The new host can itself be a name server for the csail.mit.edu domain, since DNS allows a hierarchical naming system 
D. The administrator must exercise great care, as a single name server failure has the potential to take down the entire Internet.</t>
  </si>
  <si>
    <t>Decompose R = ABCDEFGH into BCNF using the functional dependencies in the specified order: F = {C → A, B → EF, H → BCG, F → CD, G → B}. Which of these relations are present in the resulting decomposition?  (Select all that apply.)
A. AC  
B. BCDGH  
C. BCGH  
D. BG  
E. DH</t>
  </si>
  <si>
    <t>Consider a database schema with attributes R = ABCDEF and functional dependencies F = {C → D, A → B, B → EF, F → A}. A decomposition into tables ABDE and ABCF is given, which is currently not lossless. Which of the following changes (applied individually, not combined together) would make this a lossless decomposition? (Select all that apply.)
A. Adding D → ABCDEF to the functional dependency set F
B. Adding E → C to the functional dependency set F
C. Adding B → D to the functional dependency set F</t>
  </si>
  <si>
    <t>Please mark the functional dependencies that are consistent with the following table. (Select all that apply.)
{{A,B,C,D},{1,3,6,2},{2,4,1,1},{1,3,5,2},{2,2,1,2}}
A. A →D
B. AB → D
C. A → CD
D. ABC → D</t>
  </si>
  <si>
    <t>Which of the following describes the ""wait-die"" deadlock avoidance strategy? (Select all that apply.)
A. It avoids all deadlocks.
B. It never aborts unnecessarily.</t>
  </si>
  <si>
    <t>Which of the following is true for the wound-wait deadlock avoidance strategy? (Select all that apply.)
A. It avoids all deadlocks.  
B. It never aborts unnecessarily.</t>
  </si>
  <si>
    <t>In text search and ranking using TF-IDF, which of the following statements are true? (Select all that apply.)
A. In the Bag of Words model, ignoring words like ""of"" due to low informational content is an example of stop word removal.
B. To enable fast text searches, inverted files are built, containing mappings from documents to words.
C. The vector space of an IR system is enormous because it has one “dimension” per document in the corpus.
D. When calculating distance to find similarity between docs, it is beneficial to normalize the vectors.
E. Consider three documents: Doc1 has length 10,000, Doc2 has length 9,900, and Doc3 has length 100. Using the cosine similarity distance metric, Doc1 is very likely more similar to Doc2 than to Doc3.
F. The TF-IDF value increases as the frequency of a word in the document increases.</t>
  </si>
  <si>
    <t>When doing IR Ranking, what types of words do we favor? (Select all that apply.)
A. repeated words
B. long words
C. unusual words
D. capitalized words</t>
  </si>
  <si>
    <t>Using SQL analysis to interpret events in the Battle of Hogwarts, consider the provided database tables: 
Wizards(wizid integer, name text, house text, evil boolean, PRIMARY KEY(wizid)); 
Spells(sid integer, name text, offensive boolean, PRIMARY KEY(sid)); 
Attacks(attackid integer, attacker integer, attacked integer, spell integer, PRIMARY KEY(attackid), FOREIGN KEY(spell) REFERENCES Spells, FOREIGN KEY(attacker) REFERENCES Wizards, FOREIGN KEY(attacked) REFERENCES Wizards). 
Select all of the following queries that return the name of each wizard who has been an attacker more than 3 times. Do not assume that names are unique. (Select all that apply.)
A. SELECT name FROM Wizards, Attacks
WHERE wizid = attacker
GROUP BY attacker, name
HAVING COUNT(*) &gt; 3;
B. SELECT name FROM Wizards, Attacks
WHERE wizid = attacker
GROUP BY name
HAVING COUNT(*) &gt; 3;
C. SELECT name FROM
(SELECT name FROM Wizards, Attacks
WHERE wizid = attacker) AS a
GROUP BY attacker,name
HAVING COUNT(*) &gt; 3
ORDER BY COUNT(name);</t>
  </si>
  <si>
    <t>Use your knowledge of SQL to deduce what is happening during the Battle of Hogwarts. You may assume you have the following tables:
CREATE TABLE Wizards(wizid integer, name text, house text, evil boolean, PRIMARY KEY(wizid));
CREATE TABLE Spells(sid integer, name text, offensive boolean, PRIMARY KEY (sid));
CREATE TABLE Attacks(attackid integer, attacker integer, attacked integer, spell integer, PRIMARY KEY (attackid), FOREIGN KEY(spell) REFERENCES Spells, FOREIGN KEY(attacker) REFERENCES Wizards, FOREIGN KEY(attacked) REFERENCES Wizards);
Select all of the following queries that select the names of wizards (A) that another individual wizard (B) attacked twice, where the attacker (B) used two different spells. There should be no duplicates in this list. Do not assume that names are unique. (Select all that apply.)
A. SELECT w1.name AS A
FROM Wizards w1, Wizards w2, Attacks a1, Attacks a2
WHERE w1.wizid = a1.attacked AND a1.spell &lt;&gt; a2.spell
AND w2.wizid = a2.attacked AND a1.attacked = a2.attacked;
B. SELECT DISTINCT w1. name AS A
FROM Wizards w1, Attacks a1, Attacks a2
WHERE w1.wizid = a1.attacked AND a1.spell &lt;&gt; a2.spell
AND w1.wizid = a2.attacked AND a1.attacked = a2.attacked;
C. SELECT DISTINCT w1.name AS A
FROM Wizards w1, Wizards w2, Attacks a1, Attacks a2
WHERE a1.attacker = a2.attacker AND w1.wizid = a1.attacked
AND a1.spell &lt;&gt; a2.spell AND w2.wizid = a2.attacked AND a1.attacked = a2.attacked;</t>
  </si>
  <si>
    <t>Use your knowledge of SQL to deduce what is happening during the Battle of Hogwarts. You may assume you have the following tables:
CREATE TABLE Wizards(wizid integer, name text, house text, evil boolean, PRIMARY KEY(wizid));
CREATE TABLE Spells(sid integer, name text, offensive boolean, PRIMARY KEY (sid));
CREATE TABLE Attacks(attackid integer, attacker integer, attacked integer, spell integer, PRIMARY KEY (attackid), FOREIGN KEY(spell) REFERENCES Spells, FOREIGN KEY(attacker) REFERENCES Wizards, FOREIGN KEY(attacked) REFERENCES Wizards);
Select all of the following queries that return the name of all of the spells that have never been used in an attack. (Select all that apply.)
A. SELECT name
FROM Spells
WHERE sid NOT IN
(SELECT spell FROM Attacks);
B. SELECT name
FROM Spells
WHERE NOT EXISTS
(SELECT * FROM Attacks WHERE spell = sid);
C. SELECT Spells.name
FROM Spells, Wizards, Attacks
WHERE wizid = attacker and spell = sid;</t>
  </si>
  <si>
    <t>A delMax() operation on the maximum-oriented binary heap on the left produces the binary heap on the right.
left: [90,70,50,10,30,?] right: [70,?,50,10,30]
Which of the keys below could be the one labeled with a question mark? (Select all that apply.)
A. 25
B. 35
C. 45
D. 55
E. 65</t>
  </si>
  <si>
    <t>The following is a partial level-order traversal of a binary search tree (BST): 80 40 110 ? 100 120 60
Which of the keys below could be the one labeled with a question mark? (Select all that apply.)
A. 30
B. 50
C. 70
D. 90
E. 115</t>
  </si>
  <si>
    <t>The following partial code is intended to print the binary representation of the positive integer n to the standard output. For instance, if n = 6 then 110 is printed and if n = 50 then 110010 is printed.
[1]
while (n &gt; 0)
{
 stack.push(n % 2);
[2]
 n = n / 2;
}
for (int d : collection)
 StdOut.print(d); 
Complete the two missing lines of code in the above partial implementation. (Select all that apply.)
A. Stack&lt;Integer&gt; collection = new Stack&lt;Integer&gt;();
B. Queue&lt;Integer&gt; collection = new Queue&lt;Integer&gt;();
C. collection.push(n % 10);
D. collection.enqueue(n % 10);
E. collection.push(n % 2);
F. collection.enqueue(n % 2);</t>
  </si>
  <si>
    <t>Which of the following are true about Sets? (Select all that apply.)
A. A TreeSet stores elements in sorted order
B. A HashSet preserves the insertion order of its elements
C. A Set does not allow for duplicate values
D. A HashSet is generally more efficient than a TreeSet</t>
  </si>
  <si>
    <t>Consider an inode-based copy-on-write filesystem with snapshot capabilities. Which of these statements are accurate? (Select all that apply.)
A. appending to a file will require creating a new copy of the file’s inode
B. appending to a file will require creating a new copy of all the file’s data
C. appending to a file will require creating a new copy of the file's directory entry.
D. Transferring a file between directories requires creating a new copy of the file's data.
E. overwriting existing file data requires writing the new data to different location on disk.
F. This filesystem is incapable of also support redo-logging or journalling.</t>
  </si>
  <si>
    <t>Which of the following statements about the POSIX socket API are true? (Select all that apply.)
A. for a server to handle multiple clients at once, it must call listen() and/or bind() multiple times
B. a connected client’s socket is assigned a port number on the client machine
C. to connect a TCP socket as a client, one must specify a remote DNS name
D. to connect a TCP socket as a client, one must specify a remote port number
E. when one end of a connection write()s to a socket, the other end will receive the data written with exactly one read() call (assuming it receives the data at all)</t>
  </si>
  <si>
    <t>Which of the following are possible attributes of a client/server filesystem protocol which supports stateless servers? (Select all that apply.)
A. clients can write a whole file in one operation
B. servers can inform clients which have cached copies of a file when that file is updated
C. when communicating with the server, the client identifies open files using a process ID and open file descriptor number
D. to recover from server failures without disrupting clients, the server requires a log with information about active clients
E. values written could be reflected immediately by future reads (As long as we don’t care about caching)
F. the server needs to be informed when a client crashes or loses power to avoid leaking memory</t>
  </si>
  <si>
    <t>Identify the operations that necessitate the hypervisor to alter or switch the shadow page tables. (Select all that apply.)
A. The guest OS executes a privileged instruction to read keyboard input.
B. The guest OS kernel changes its page table.
C. A program in the guest OS invokes a system call.
D. when the guest OS handles an interrupt triggered while the guest OS kernel was running</t>
  </si>
  <si>
    <t>Select all of the features below that are part of the instruction set architecture of a machine: (Select all that apply.)
A. The number of registers.
B. The number of machine cycles to execute a single instruction.
C. The effect that a certain instruction has on memory and registers when executed.
D. The condition codes and what causes them to be set.
E. The available memory addressing modes.
F. The machine word size.</t>
  </si>
  <si>
    <t>What are all the possible values of x after the concurrent execution of the following code on two cores? (Select all that apply.)
int x = 1;
int y = 1;
#pragma omp parallel
{
x += 1;
y = x + y;
}
x:
A. 0, B. 1, C. 2, D. 3, E. 4, F. 5, G. 6, H. 7, I. 8, J. 9</t>
  </si>
  <si>
    <t>What are all the possible values of y after the concurrent execution of the following code on two cores? (Select all that apply.)
int x = 1;
int y = 1;
#pragma omp parallel
{
x += 1;
y = x + y;
}
x:
A. 0, B. 1, C. 2, D. 3, E. 4, F. 5, G. 6, H. 7, I. 8, J. 9</t>
  </si>
  <si>
    <t>Virtual memory enables which of the following? (Select all that apply)
A. Pretend that programs do not have to share the address space with other programs.
B. Have more stable and secure computer systems.
C. Divide the entire address space into 4 sections specifically for static, code, heap, and stack.
D. Provide the illusion that the system possesses storage with the capacity of DRAM the access speed of disk.</t>
  </si>
  <si>
    <t>Which of the following statements about multi-level page tables are correct? (Select all that apply.)
A. They reduce memory fragmentation compared to single-level page tables
B. They reduce the amount of memory needed to represent sparse address spaces
C. They increase the speed of virtual-to-physical address translation
D. They require fewer memory accesses than a single-level page table
E. They make memory sharing techniques like copy-on-write easier to implement</t>
  </si>
  <si>
    <t>Consider 6 random variables X1,...,X6, each of which takes one of K possible values. You are given their joint probability distribution, which factors according to the Markov network structure below: X1-X2-X3-X4-X5-X6-X1 meanwhile X1-X4; you are also told that X6 takes the value x6. You are asked to find the posterior probability distribution p(x1 |x6). You decide to use the variable elimination algorithm and eliminate variables in the order (5,4,3,2). As a function of K, how many computations will you need?
A) O(K^2)
B) O(K^3)
C) O(K^4)
D) O(K^5)</t>
  </si>
  <si>
    <t>O(M log N)</t>
  </si>
  <si>
    <t>5 *10^-7, 1.35 * 10^-5</t>
  </si>
  <si>
    <t>A, D, E</t>
  </si>
  <si>
    <t>S, S, X, X</t>
  </si>
  <si>
    <t>O(log n) on average, O(n) in worst case</t>
  </si>
  <si>
    <t>D, E, F, G,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</si>
</sst>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sz val="12"/>
      <color theme="1"/>
      <name val="Arial"/>
      <family val="2"/>
      <scheme val="minor"/>
    </font>
    <font>
      <sz val="10"/>
      <color theme="1"/>
      <name val="Arial"/>
      <family val="2"/>
      <scheme val="minor"/>
    </font>
    <font>
      <sz val="11"/>
      <color theme="1"/>
      <name val="Calibri"/>
      <family val="2"/>
    </font>
    <font>
      <sz val="10"/>
      <color theme="1"/>
      <name val="Arial"/>
      <family val="2"/>
    </font>
    <font>
      <b/>
      <sz val="10"/>
      <color theme="1"/>
      <name val="Arial"/>
      <family val="2"/>
      <scheme val="minor"/>
    </font>
    <font>
      <sz val="10"/>
      <color rgb="FF000000"/>
      <name val="Arial"/>
      <family val="2"/>
      <scheme val="minor"/>
    </font>
    <font>
      <sz val="11"/>
      <color rgb="FF000000"/>
      <name val="Calibri"/>
      <family val="2"/>
    </font>
    <font>
      <u/>
      <sz val="10"/>
      <color theme="10"/>
      <name val="Arial"/>
      <family val="2"/>
      <scheme val="minor"/>
    </font>
    <font>
      <sz val="12"/>
      <color theme="1"/>
      <name val="Aptos Narrow (Body)"/>
    </font>
    <font>
      <sz val="13"/>
      <color theme="1"/>
      <name val="Arial"/>
      <family val="2"/>
      <scheme val="minor"/>
    </font>
    <font>
      <b/>
      <sz val="10"/>
      <color rgb="FF000000"/>
      <name val="Arial"/>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8" fillId="0" borderId="0" applyNumberFormat="0" applyFill="0" applyBorder="0" applyAlignment="0" applyProtection="0"/>
  </cellStyleXfs>
  <cellXfs count="31">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2" fillId="0" borderId="0" xfId="0" quotePrefix="1" applyFont="1"/>
    <xf numFmtId="0" fontId="6" fillId="0" borderId="1" xfId="0" applyFont="1" applyBorder="1" applyAlignment="1">
      <alignment wrapText="1"/>
    </xf>
    <xf numFmtId="0" fontId="7" fillId="0" borderId="1" xfId="0" applyFont="1" applyBorder="1" applyAlignment="1">
      <alignment wrapText="1"/>
    </xf>
    <xf numFmtId="0" fontId="6" fillId="0" borderId="1" xfId="0" applyFont="1" applyBorder="1" applyAlignment="1">
      <alignment horizontal="right" wrapText="1"/>
    </xf>
    <xf numFmtId="0" fontId="6" fillId="0" borderId="0" xfId="0" applyFont="1"/>
    <xf numFmtId="0" fontId="2" fillId="2" borderId="0" xfId="0" applyFont="1" applyFill="1"/>
    <xf numFmtId="0" fontId="6" fillId="2" borderId="0" xfId="0" applyFont="1" applyFill="1" applyAlignment="1">
      <alignment wrapText="1"/>
    </xf>
    <xf numFmtId="0" fontId="0" fillId="2" borderId="0" xfId="0" applyFill="1" applyAlignment="1">
      <alignment wrapText="1"/>
    </xf>
    <xf numFmtId="0" fontId="0" fillId="2" borderId="0" xfId="0" applyFill="1"/>
    <xf numFmtId="0" fontId="6" fillId="2" borderId="0" xfId="0" applyFont="1" applyFill="1" applyAlignment="1">
      <alignment horizontal="left" wrapText="1"/>
    </xf>
    <xf numFmtId="0" fontId="0" fillId="2" borderId="0" xfId="0" applyFill="1" applyAlignment="1">
      <alignment horizontal="left" wrapText="1"/>
    </xf>
    <xf numFmtId="0" fontId="1" fillId="2" borderId="0" xfId="0" applyFont="1" applyFill="1" applyAlignment="1">
      <alignment wrapText="1"/>
    </xf>
    <xf numFmtId="0" fontId="6" fillId="2" borderId="0" xfId="0" applyFont="1" applyFill="1"/>
    <xf numFmtId="0" fontId="3" fillId="2" borderId="0" xfId="0" applyFont="1" applyFill="1"/>
    <xf numFmtId="0" fontId="2" fillId="2" borderId="0" xfId="0" applyFont="1" applyFill="1" applyAlignment="1">
      <alignment wrapText="1"/>
    </xf>
    <xf numFmtId="0" fontId="9" fillId="2" borderId="0" xfId="1" applyFont="1" applyFill="1" applyAlignment="1">
      <alignment wrapText="1"/>
    </xf>
    <xf numFmtId="0" fontId="10" fillId="2" borderId="0" xfId="0" applyFont="1" applyFill="1"/>
    <xf numFmtId="0" fontId="6" fillId="2" borderId="0" xfId="0" applyFont="1" applyFill="1" applyAlignment="1">
      <alignment horizontal="left"/>
    </xf>
    <xf numFmtId="0" fontId="11" fillId="0" borderId="0" xfId="0" applyFont="1"/>
    <xf numFmtId="0" fontId="0" fillId="0" borderId="0" xfId="0" applyAlignment="1">
      <alignment horizontal="left"/>
    </xf>
    <xf numFmtId="0" fontId="0" fillId="0" borderId="0" xfId="0" applyAlignment="1">
      <alignment wrapText="1"/>
    </xf>
    <xf numFmtId="0" fontId="6" fillId="0" borderId="0" xfId="0" applyFont="1" applyAlignment="1">
      <alignment wrapText="1"/>
    </xf>
    <xf numFmtId="0" fontId="4" fillId="0" borderId="0" xfId="0" applyFont="1" applyAlignment="1">
      <alignment horizontal="left"/>
    </xf>
    <xf numFmtId="0" fontId="6" fillId="0" borderId="0" xfId="0" applyFont="1" applyFill="1"/>
    <xf numFmtId="0" fontId="0" fillId="0" borderId="0" xfId="0" applyFill="1"/>
    <xf numFmtId="0" fontId="0" fillId="0" borderId="0" xfId="0"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O1121"/>
  <sheetViews>
    <sheetView tabSelected="1" topLeftCell="D231" zoomScale="141" zoomScaleNormal="100" workbookViewId="0">
      <selection activeCell="D247" sqref="D247"/>
    </sheetView>
  </sheetViews>
  <sheetFormatPr baseColWidth="10" defaultColWidth="12.5" defaultRowHeight="15.75" customHeight="1" x14ac:dyDescent="0.15"/>
  <cols>
    <col min="1" max="1" width="12.5" customWidth="1"/>
    <col min="2" max="2" width="33.33203125" customWidth="1"/>
    <col min="3" max="3" width="11.5" customWidth="1"/>
    <col min="4" max="4" width="76.5" customWidth="1"/>
  </cols>
  <sheetData>
    <row r="1" spans="1:15" ht="13" x14ac:dyDescent="0.15">
      <c r="A1" s="4" t="s">
        <v>0</v>
      </c>
      <c r="B1" s="4" t="s">
        <v>1</v>
      </c>
      <c r="C1" s="4" t="s">
        <v>2</v>
      </c>
      <c r="D1" s="4" t="s">
        <v>3</v>
      </c>
      <c r="E1" s="4" t="s">
        <v>4</v>
      </c>
      <c r="F1" s="4" t="s">
        <v>5</v>
      </c>
      <c r="G1" s="4" t="s">
        <v>6</v>
      </c>
      <c r="H1" s="4" t="s">
        <v>3254</v>
      </c>
      <c r="I1" s="4" t="s">
        <v>3255</v>
      </c>
      <c r="J1" s="4"/>
      <c r="K1" s="4" t="s">
        <v>7</v>
      </c>
      <c r="L1" s="4" t="s">
        <v>8</v>
      </c>
      <c r="N1" s="4" t="s">
        <v>9</v>
      </c>
      <c r="O1" s="4" t="s">
        <v>8</v>
      </c>
    </row>
    <row r="2" spans="1:15" ht="28" hidden="1" x14ac:dyDescent="0.15">
      <c r="A2" s="1">
        <f>ROW() - 1</f>
        <v>1</v>
      </c>
      <c r="B2" s="1" t="s">
        <v>3253</v>
      </c>
      <c r="C2" s="1" t="s">
        <v>11</v>
      </c>
      <c r="D2" s="25" t="s">
        <v>12</v>
      </c>
      <c r="E2" t="s">
        <v>13</v>
      </c>
      <c r="F2" t="s">
        <v>14</v>
      </c>
      <c r="G2" s="1" t="s">
        <v>15</v>
      </c>
      <c r="H2" s="24">
        <v>1</v>
      </c>
      <c r="I2" s="9">
        <f ca="1">RAND()</f>
        <v>0.75660019372264464</v>
      </c>
      <c r="K2" s="1" t="s">
        <v>3253</v>
      </c>
      <c r="L2" s="1">
        <f>COUNTIF(B2:B3000,K2)</f>
        <v>340</v>
      </c>
      <c r="N2" s="1" t="s">
        <v>16</v>
      </c>
      <c r="O2" s="1">
        <f>COUNTIF(C2:C3000, N2)</f>
        <v>261</v>
      </c>
    </row>
    <row r="3" spans="1:15" ht="28" hidden="1" x14ac:dyDescent="0.15">
      <c r="A3" s="1">
        <f t="shared" ref="A3:A66" si="0">ROW() - 1</f>
        <v>2</v>
      </c>
      <c r="B3" s="1" t="s">
        <v>3253</v>
      </c>
      <c r="C3" s="1" t="s">
        <v>11</v>
      </c>
      <c r="D3" s="25" t="s">
        <v>17</v>
      </c>
      <c r="E3" t="s">
        <v>18</v>
      </c>
      <c r="F3" t="s">
        <v>19</v>
      </c>
      <c r="G3" s="3" t="s">
        <v>15</v>
      </c>
      <c r="H3" s="27">
        <v>1</v>
      </c>
      <c r="I3" s="9">
        <f ca="1">RAND()</f>
        <v>0.44607245761050218</v>
      </c>
      <c r="K3" s="1" t="s">
        <v>20</v>
      </c>
      <c r="L3" s="1">
        <f>COUNTIF(B2:B3000,K3)</f>
        <v>241</v>
      </c>
      <c r="N3" s="1" t="s">
        <v>21</v>
      </c>
      <c r="O3" s="1">
        <f>COUNTIF(C2:C3000, N3)</f>
        <v>196</v>
      </c>
    </row>
    <row r="4" spans="1:15" ht="13" hidden="1" x14ac:dyDescent="0.15">
      <c r="A4" s="1">
        <f t="shared" si="0"/>
        <v>3</v>
      </c>
      <c r="B4" s="1" t="s">
        <v>3253</v>
      </c>
      <c r="C4" s="1" t="s">
        <v>11</v>
      </c>
      <c r="D4" t="s">
        <v>22</v>
      </c>
      <c r="E4" t="s">
        <v>23</v>
      </c>
      <c r="F4" t="s">
        <v>24</v>
      </c>
      <c r="G4" s="3" t="s">
        <v>25</v>
      </c>
      <c r="H4" s="27">
        <v>0</v>
      </c>
      <c r="I4" s="9">
        <f t="shared" ref="I4:I67" ca="1" si="1">RAND()</f>
        <v>0.68278259473441905</v>
      </c>
      <c r="K4" s="1" t="s">
        <v>31</v>
      </c>
      <c r="L4" s="1">
        <f>COUNTIF(B2:B3000,K4)</f>
        <v>153</v>
      </c>
      <c r="N4" s="1" t="s">
        <v>27</v>
      </c>
      <c r="O4" s="1">
        <f>COUNTIF(C2:C3000, N4)</f>
        <v>231</v>
      </c>
    </row>
    <row r="5" spans="1:15" ht="84" hidden="1" x14ac:dyDescent="0.15">
      <c r="A5" s="1">
        <f t="shared" si="0"/>
        <v>4</v>
      </c>
      <c r="B5" s="1" t="s">
        <v>3253</v>
      </c>
      <c r="C5" s="1" t="s">
        <v>11</v>
      </c>
      <c r="D5" s="25" t="s">
        <v>28</v>
      </c>
      <c r="E5" t="s">
        <v>29</v>
      </c>
      <c r="F5" t="s">
        <v>30</v>
      </c>
      <c r="G5" s="3" t="s">
        <v>25</v>
      </c>
      <c r="H5" s="27">
        <v>1</v>
      </c>
      <c r="I5" s="9">
        <f t="shared" ca="1" si="1"/>
        <v>0.55546482425109633</v>
      </c>
      <c r="K5" s="1" t="s">
        <v>36</v>
      </c>
      <c r="L5" s="1">
        <f>COUNTIF(B2:B3000,K5)</f>
        <v>278</v>
      </c>
      <c r="N5" s="1" t="s">
        <v>32</v>
      </c>
      <c r="O5" s="1">
        <f>COUNTIF(C2:C3000, N5)</f>
        <v>220</v>
      </c>
    </row>
    <row r="6" spans="1:15" ht="70" hidden="1" x14ac:dyDescent="0.15">
      <c r="A6" s="1">
        <f t="shared" si="0"/>
        <v>5</v>
      </c>
      <c r="B6" s="1" t="s">
        <v>3253</v>
      </c>
      <c r="C6" s="1" t="s">
        <v>11</v>
      </c>
      <c r="D6" s="25" t="s">
        <v>33</v>
      </c>
      <c r="E6" t="s">
        <v>34</v>
      </c>
      <c r="F6" t="s">
        <v>35</v>
      </c>
      <c r="G6" s="3" t="s">
        <v>15</v>
      </c>
      <c r="H6" s="27">
        <v>1</v>
      </c>
      <c r="I6" s="9">
        <f t="shared" ca="1" si="1"/>
        <v>2.9830664283091113E-2</v>
      </c>
      <c r="K6" s="1" t="s">
        <v>1266</v>
      </c>
      <c r="L6" s="1">
        <f>COUNTIF(B2:B3000,K6)</f>
        <v>108</v>
      </c>
      <c r="N6" s="1" t="s">
        <v>11</v>
      </c>
      <c r="O6" s="1">
        <f>COUNTIF(C2:C3000, N6)</f>
        <v>212</v>
      </c>
    </row>
    <row r="7" spans="1:15" ht="56" hidden="1" x14ac:dyDescent="0.15">
      <c r="A7" s="1">
        <f t="shared" si="0"/>
        <v>6</v>
      </c>
      <c r="B7" s="1" t="s">
        <v>3253</v>
      </c>
      <c r="C7" s="1" t="s">
        <v>11</v>
      </c>
      <c r="D7" s="25" t="s">
        <v>37</v>
      </c>
      <c r="E7" t="s">
        <v>38</v>
      </c>
      <c r="F7" t="s">
        <v>39</v>
      </c>
      <c r="G7" s="3" t="s">
        <v>15</v>
      </c>
      <c r="H7" s="27">
        <v>1</v>
      </c>
      <c r="I7" s="9">
        <f t="shared" ca="1" si="1"/>
        <v>0.2176344638288682</v>
      </c>
      <c r="K7" s="1"/>
      <c r="L7" s="1"/>
    </row>
    <row r="8" spans="1:15" ht="126" hidden="1" x14ac:dyDescent="0.15">
      <c r="A8" s="1">
        <f t="shared" si="0"/>
        <v>7</v>
      </c>
      <c r="B8" s="1" t="s">
        <v>3253</v>
      </c>
      <c r="C8" s="1" t="s">
        <v>11</v>
      </c>
      <c r="D8" s="25" t="s">
        <v>40</v>
      </c>
      <c r="E8" t="s">
        <v>41</v>
      </c>
      <c r="F8" t="s">
        <v>42</v>
      </c>
      <c r="G8" s="3" t="s">
        <v>15</v>
      </c>
      <c r="H8" s="27">
        <v>1</v>
      </c>
      <c r="I8" s="9">
        <f t="shared" ca="1" si="1"/>
        <v>0.41441587182322004</v>
      </c>
      <c r="K8" s="4" t="s">
        <v>3256</v>
      </c>
      <c r="L8" s="4">
        <f>SUM(L2, L3, L4, L5, L6)</f>
        <v>1120</v>
      </c>
      <c r="O8" s="23">
        <f>SUM(O2,O3,O4,O5,O6)</f>
        <v>1120</v>
      </c>
    </row>
    <row r="9" spans="1:15" ht="28" hidden="1" x14ac:dyDescent="0.15">
      <c r="A9" s="1">
        <f t="shared" si="0"/>
        <v>8</v>
      </c>
      <c r="B9" s="1" t="s">
        <v>3253</v>
      </c>
      <c r="C9" s="1" t="s">
        <v>11</v>
      </c>
      <c r="D9" s="25" t="s">
        <v>43</v>
      </c>
      <c r="E9" t="s">
        <v>44</v>
      </c>
      <c r="F9" t="s">
        <v>45</v>
      </c>
      <c r="G9" s="3" t="s">
        <v>15</v>
      </c>
      <c r="H9" s="27">
        <v>1</v>
      </c>
      <c r="I9" s="9">
        <f t="shared" ca="1" si="1"/>
        <v>0.75796234008484442</v>
      </c>
    </row>
    <row r="10" spans="1:15" ht="28" x14ac:dyDescent="0.15">
      <c r="A10" s="1">
        <f t="shared" si="0"/>
        <v>9</v>
      </c>
      <c r="B10" s="1" t="s">
        <v>3253</v>
      </c>
      <c r="C10" s="1" t="s">
        <v>32</v>
      </c>
      <c r="D10" s="25" t="s">
        <v>46</v>
      </c>
      <c r="E10" s="28" t="s">
        <v>286</v>
      </c>
      <c r="F10" t="s">
        <v>47</v>
      </c>
      <c r="G10" s="3" t="s">
        <v>25</v>
      </c>
      <c r="H10" s="27">
        <v>0</v>
      </c>
      <c r="I10" s="9">
        <f t="shared" ca="1" si="1"/>
        <v>0.44364185988921445</v>
      </c>
    </row>
    <row r="11" spans="1:15" ht="28" x14ac:dyDescent="0.15">
      <c r="A11" s="1">
        <f t="shared" si="0"/>
        <v>10</v>
      </c>
      <c r="B11" s="1" t="s">
        <v>3253</v>
      </c>
      <c r="C11" s="1" t="s">
        <v>32</v>
      </c>
      <c r="D11" s="25" t="s">
        <v>48</v>
      </c>
      <c r="E11" s="28" t="s">
        <v>286</v>
      </c>
      <c r="F11" t="s">
        <v>49</v>
      </c>
      <c r="G11" s="3" t="s">
        <v>25</v>
      </c>
      <c r="H11" s="27">
        <v>0</v>
      </c>
      <c r="I11" s="9">
        <f t="shared" ca="1" si="1"/>
        <v>0.82090610681593268</v>
      </c>
    </row>
    <row r="12" spans="1:15" ht="14" x14ac:dyDescent="0.15">
      <c r="A12" s="1">
        <f t="shared" si="0"/>
        <v>11</v>
      </c>
      <c r="B12" s="1" t="s">
        <v>3253</v>
      </c>
      <c r="C12" s="1" t="s">
        <v>32</v>
      </c>
      <c r="D12" s="25" t="s">
        <v>50</v>
      </c>
      <c r="E12" s="28" t="s">
        <v>286</v>
      </c>
      <c r="F12" t="s">
        <v>51</v>
      </c>
      <c r="G12" s="3" t="s">
        <v>52</v>
      </c>
      <c r="H12" s="27">
        <v>0</v>
      </c>
      <c r="I12" s="9">
        <f t="shared" ca="1" si="1"/>
        <v>0.52882653105250621</v>
      </c>
    </row>
    <row r="13" spans="1:15" ht="28" x14ac:dyDescent="0.15">
      <c r="A13" s="1">
        <f t="shared" si="0"/>
        <v>12</v>
      </c>
      <c r="B13" s="1" t="s">
        <v>3253</v>
      </c>
      <c r="C13" s="1" t="s">
        <v>32</v>
      </c>
      <c r="D13" s="25" t="s">
        <v>53</v>
      </c>
      <c r="E13" s="28" t="s">
        <v>174</v>
      </c>
      <c r="F13" t="s">
        <v>54</v>
      </c>
      <c r="G13" s="3" t="s">
        <v>25</v>
      </c>
      <c r="H13" s="27">
        <v>0</v>
      </c>
      <c r="I13" s="9">
        <f t="shared" ca="1" si="1"/>
        <v>0.41185559457618037</v>
      </c>
    </row>
    <row r="14" spans="1:15" ht="28" hidden="1" x14ac:dyDescent="0.15">
      <c r="A14" s="1">
        <f t="shared" si="0"/>
        <v>13</v>
      </c>
      <c r="B14" s="1" t="s">
        <v>3253</v>
      </c>
      <c r="C14" s="1" t="s">
        <v>11</v>
      </c>
      <c r="D14" s="25" t="s">
        <v>55</v>
      </c>
      <c r="E14" t="s">
        <v>56</v>
      </c>
      <c r="F14" t="s">
        <v>57</v>
      </c>
      <c r="G14" s="3" t="s">
        <v>52</v>
      </c>
      <c r="H14" s="27">
        <v>0</v>
      </c>
      <c r="I14" s="9">
        <f t="shared" ca="1" si="1"/>
        <v>0.15490687028082784</v>
      </c>
    </row>
    <row r="15" spans="1:15" ht="14" hidden="1" x14ac:dyDescent="0.15">
      <c r="A15" s="1">
        <f t="shared" si="0"/>
        <v>14</v>
      </c>
      <c r="B15" s="1" t="s">
        <v>3253</v>
      </c>
      <c r="C15" s="1" t="s">
        <v>11</v>
      </c>
      <c r="D15" s="25" t="s">
        <v>58</v>
      </c>
      <c r="E15" t="s">
        <v>59</v>
      </c>
      <c r="F15" t="s">
        <v>60</v>
      </c>
      <c r="G15" s="3" t="s">
        <v>52</v>
      </c>
      <c r="H15" s="27">
        <v>0</v>
      </c>
      <c r="I15" s="9">
        <f t="shared" ca="1" si="1"/>
        <v>0.27992586262699182</v>
      </c>
    </row>
    <row r="16" spans="1:15" ht="14" hidden="1" x14ac:dyDescent="0.15">
      <c r="A16" s="1">
        <f t="shared" si="0"/>
        <v>15</v>
      </c>
      <c r="B16" s="1" t="s">
        <v>3253</v>
      </c>
      <c r="C16" s="1" t="s">
        <v>11</v>
      </c>
      <c r="D16" s="25" t="s">
        <v>61</v>
      </c>
      <c r="E16" t="s">
        <v>62</v>
      </c>
      <c r="F16" t="s">
        <v>63</v>
      </c>
      <c r="G16" s="3" t="s">
        <v>25</v>
      </c>
      <c r="H16" s="27">
        <v>0</v>
      </c>
      <c r="I16" s="9">
        <f t="shared" ca="1" si="1"/>
        <v>0.66545490753888681</v>
      </c>
    </row>
    <row r="17" spans="1:9" ht="98" hidden="1" x14ac:dyDescent="0.15">
      <c r="A17" s="1">
        <f t="shared" si="0"/>
        <v>16</v>
      </c>
      <c r="B17" s="1" t="s">
        <v>3253</v>
      </c>
      <c r="C17" s="1" t="s">
        <v>11</v>
      </c>
      <c r="D17" s="25" t="s">
        <v>64</v>
      </c>
      <c r="E17" t="s">
        <v>65</v>
      </c>
      <c r="F17" t="s">
        <v>66</v>
      </c>
      <c r="G17" s="3" t="s">
        <v>25</v>
      </c>
      <c r="H17" s="27">
        <v>1</v>
      </c>
      <c r="I17" s="9">
        <f t="shared" ca="1" si="1"/>
        <v>0.17610216588293959</v>
      </c>
    </row>
    <row r="18" spans="1:9" ht="42" hidden="1" x14ac:dyDescent="0.15">
      <c r="A18" s="1">
        <f t="shared" si="0"/>
        <v>17</v>
      </c>
      <c r="B18" s="1" t="s">
        <v>3253</v>
      </c>
      <c r="C18" s="1" t="s">
        <v>11</v>
      </c>
      <c r="D18" s="25" t="s">
        <v>67</v>
      </c>
      <c r="E18" t="s">
        <v>68</v>
      </c>
      <c r="F18" t="s">
        <v>69</v>
      </c>
      <c r="G18" s="3" t="s">
        <v>25</v>
      </c>
      <c r="H18" s="27">
        <v>1</v>
      </c>
      <c r="I18" s="9">
        <f t="shared" ca="1" si="1"/>
        <v>2.9760335292676632E-2</v>
      </c>
    </row>
    <row r="19" spans="1:9" ht="28" x14ac:dyDescent="0.15">
      <c r="A19" s="1">
        <f t="shared" si="0"/>
        <v>18</v>
      </c>
      <c r="B19" s="1" t="s">
        <v>3253</v>
      </c>
      <c r="C19" s="1" t="s">
        <v>27</v>
      </c>
      <c r="D19" s="25" t="s">
        <v>70</v>
      </c>
      <c r="E19" s="28" t="s">
        <v>3295</v>
      </c>
      <c r="F19" t="s">
        <v>72</v>
      </c>
      <c r="G19" s="3" t="s">
        <v>25</v>
      </c>
      <c r="H19" s="27">
        <v>1</v>
      </c>
      <c r="I19" s="9">
        <f t="shared" ca="1" si="1"/>
        <v>0.92021995460375761</v>
      </c>
    </row>
    <row r="20" spans="1:9" ht="28" hidden="1" x14ac:dyDescent="0.15">
      <c r="A20" s="1">
        <f t="shared" si="0"/>
        <v>19</v>
      </c>
      <c r="B20" s="1" t="s">
        <v>3253</v>
      </c>
      <c r="C20" s="1" t="s">
        <v>11</v>
      </c>
      <c r="D20" s="25" t="s">
        <v>73</v>
      </c>
      <c r="E20" t="s">
        <v>74</v>
      </c>
      <c r="F20" t="s">
        <v>75</v>
      </c>
      <c r="G20" s="3" t="s">
        <v>25</v>
      </c>
      <c r="H20" s="27">
        <v>1</v>
      </c>
      <c r="I20" s="9">
        <f t="shared" ca="1" si="1"/>
        <v>0.13849084328802685</v>
      </c>
    </row>
    <row r="21" spans="1:9" ht="56" hidden="1" x14ac:dyDescent="0.15">
      <c r="A21" s="1">
        <f t="shared" si="0"/>
        <v>20</v>
      </c>
      <c r="B21" s="1" t="s">
        <v>3253</v>
      </c>
      <c r="C21" s="1" t="s">
        <v>11</v>
      </c>
      <c r="D21" s="25" t="s">
        <v>76</v>
      </c>
      <c r="E21" t="s">
        <v>77</v>
      </c>
      <c r="F21" t="s">
        <v>78</v>
      </c>
      <c r="G21" s="3" t="s">
        <v>25</v>
      </c>
      <c r="H21" s="27">
        <v>1</v>
      </c>
      <c r="I21" s="9">
        <f t="shared" ca="1" si="1"/>
        <v>0.7668252924945218</v>
      </c>
    </row>
    <row r="22" spans="1:9" ht="56" hidden="1" x14ac:dyDescent="0.15">
      <c r="A22" s="1">
        <f t="shared" si="0"/>
        <v>21</v>
      </c>
      <c r="B22" s="1" t="s">
        <v>3253</v>
      </c>
      <c r="C22" s="1" t="s">
        <v>11</v>
      </c>
      <c r="D22" s="25" t="s">
        <v>79</v>
      </c>
      <c r="E22" t="s">
        <v>80</v>
      </c>
      <c r="F22" t="s">
        <v>81</v>
      </c>
      <c r="G22" s="3" t="s">
        <v>15</v>
      </c>
      <c r="H22" s="27">
        <v>1</v>
      </c>
      <c r="I22" s="9">
        <f t="shared" ca="1" si="1"/>
        <v>0.26818822201075321</v>
      </c>
    </row>
    <row r="23" spans="1:9" ht="140" hidden="1" x14ac:dyDescent="0.15">
      <c r="A23" s="1">
        <f t="shared" si="0"/>
        <v>22</v>
      </c>
      <c r="B23" s="1" t="s">
        <v>3253</v>
      </c>
      <c r="C23" s="1" t="s">
        <v>11</v>
      </c>
      <c r="D23" s="25" t="s">
        <v>82</v>
      </c>
      <c r="E23" t="s">
        <v>83</v>
      </c>
      <c r="F23" t="s">
        <v>84</v>
      </c>
      <c r="G23" s="3" t="s">
        <v>15</v>
      </c>
      <c r="H23" s="27">
        <v>1</v>
      </c>
      <c r="I23" s="9">
        <f t="shared" ca="1" si="1"/>
        <v>0.98783993006561077</v>
      </c>
    </row>
    <row r="24" spans="1:9" ht="98" hidden="1" x14ac:dyDescent="0.15">
      <c r="A24" s="1">
        <f t="shared" si="0"/>
        <v>23</v>
      </c>
      <c r="B24" s="1" t="s">
        <v>3253</v>
      </c>
      <c r="C24" s="1" t="s">
        <v>11</v>
      </c>
      <c r="D24" s="25" t="s">
        <v>85</v>
      </c>
      <c r="E24" t="s">
        <v>86</v>
      </c>
      <c r="F24" t="s">
        <v>87</v>
      </c>
      <c r="G24" s="3" t="s">
        <v>15</v>
      </c>
      <c r="H24" s="27">
        <v>1</v>
      </c>
      <c r="I24" s="9">
        <f t="shared" ca="1" si="1"/>
        <v>6.6019013174723806E-2</v>
      </c>
    </row>
    <row r="25" spans="1:9" ht="98" hidden="1" x14ac:dyDescent="0.15">
      <c r="A25" s="1">
        <f t="shared" si="0"/>
        <v>24</v>
      </c>
      <c r="B25" s="1" t="s">
        <v>3253</v>
      </c>
      <c r="C25" s="1" t="s">
        <v>11</v>
      </c>
      <c r="D25" s="25" t="s">
        <v>88</v>
      </c>
      <c r="E25" t="s">
        <v>89</v>
      </c>
      <c r="F25" t="s">
        <v>90</v>
      </c>
      <c r="G25" s="3" t="s">
        <v>15</v>
      </c>
      <c r="H25" s="27">
        <v>1</v>
      </c>
      <c r="I25" s="9">
        <f t="shared" ca="1" si="1"/>
        <v>0.23786259398420684</v>
      </c>
    </row>
    <row r="26" spans="1:9" ht="126" hidden="1" x14ac:dyDescent="0.15">
      <c r="A26" s="1">
        <f t="shared" si="0"/>
        <v>25</v>
      </c>
      <c r="B26" s="1" t="s">
        <v>3253</v>
      </c>
      <c r="C26" s="1" t="s">
        <v>11</v>
      </c>
      <c r="D26" s="25" t="s">
        <v>91</v>
      </c>
      <c r="E26" t="s">
        <v>92</v>
      </c>
      <c r="F26" t="s">
        <v>93</v>
      </c>
      <c r="G26" s="3" t="s">
        <v>15</v>
      </c>
      <c r="H26" s="27">
        <v>1</v>
      </c>
      <c r="I26" s="9">
        <f t="shared" ca="1" si="1"/>
        <v>0.35466628277152912</v>
      </c>
    </row>
    <row r="27" spans="1:9" ht="112" hidden="1" x14ac:dyDescent="0.15">
      <c r="A27" s="1">
        <f t="shared" si="0"/>
        <v>26</v>
      </c>
      <c r="B27" s="1" t="s">
        <v>3253</v>
      </c>
      <c r="C27" s="1" t="s">
        <v>11</v>
      </c>
      <c r="D27" s="25" t="s">
        <v>94</v>
      </c>
      <c r="E27" t="s">
        <v>95</v>
      </c>
      <c r="F27" t="s">
        <v>96</v>
      </c>
      <c r="G27" s="3" t="s">
        <v>15</v>
      </c>
      <c r="H27" s="27">
        <v>1</v>
      </c>
      <c r="I27" s="9">
        <f t="shared" ca="1" si="1"/>
        <v>0.60220943294184059</v>
      </c>
    </row>
    <row r="28" spans="1:9" ht="71" hidden="1" x14ac:dyDescent="0.2">
      <c r="A28" s="1">
        <f t="shared" si="0"/>
        <v>27</v>
      </c>
      <c r="B28" s="2" t="s">
        <v>3253</v>
      </c>
      <c r="C28" s="2" t="s">
        <v>16</v>
      </c>
      <c r="D28" s="25" t="s">
        <v>97</v>
      </c>
      <c r="E28" t="s">
        <v>98</v>
      </c>
      <c r="F28" t="s">
        <v>99</v>
      </c>
      <c r="G28" s="3" t="s">
        <v>25</v>
      </c>
      <c r="H28" s="27">
        <v>0</v>
      </c>
      <c r="I28" s="9">
        <f t="shared" ca="1" si="1"/>
        <v>0.71879085207970761</v>
      </c>
    </row>
    <row r="29" spans="1:9" ht="14" hidden="1" x14ac:dyDescent="0.15">
      <c r="A29" s="1">
        <f t="shared" si="0"/>
        <v>28</v>
      </c>
      <c r="B29" s="1" t="s">
        <v>3253</v>
      </c>
      <c r="C29" s="1" t="s">
        <v>11</v>
      </c>
      <c r="D29" s="25" t="s">
        <v>100</v>
      </c>
      <c r="E29" t="s">
        <v>101</v>
      </c>
      <c r="F29" t="s">
        <v>102</v>
      </c>
      <c r="G29" s="3" t="s">
        <v>52</v>
      </c>
      <c r="H29" s="27">
        <v>0</v>
      </c>
      <c r="I29" s="9">
        <f t="shared" ca="1" si="1"/>
        <v>6.754997284769737E-2</v>
      </c>
    </row>
    <row r="30" spans="1:9" ht="70" hidden="1" x14ac:dyDescent="0.15">
      <c r="A30" s="1">
        <f t="shared" si="0"/>
        <v>29</v>
      </c>
      <c r="B30" s="1" t="s">
        <v>20</v>
      </c>
      <c r="C30" s="1" t="s">
        <v>16</v>
      </c>
      <c r="D30" s="25" t="s">
        <v>103</v>
      </c>
      <c r="E30" t="s">
        <v>98</v>
      </c>
      <c r="F30" t="s">
        <v>104</v>
      </c>
      <c r="G30" s="3" t="s">
        <v>52</v>
      </c>
      <c r="H30" s="27">
        <v>0</v>
      </c>
      <c r="I30" s="9">
        <f t="shared" ca="1" si="1"/>
        <v>2.4692443899834604E-2</v>
      </c>
    </row>
    <row r="31" spans="1:9" ht="15.75" hidden="1" customHeight="1" x14ac:dyDescent="0.15">
      <c r="A31" s="1">
        <f t="shared" si="0"/>
        <v>30</v>
      </c>
      <c r="B31" s="1" t="s">
        <v>20</v>
      </c>
      <c r="C31" s="1" t="s">
        <v>16</v>
      </c>
      <c r="D31" s="25" t="s">
        <v>105</v>
      </c>
      <c r="E31" t="s">
        <v>106</v>
      </c>
      <c r="F31" t="s">
        <v>107</v>
      </c>
      <c r="G31" s="3" t="s">
        <v>52</v>
      </c>
      <c r="H31" s="27">
        <v>0</v>
      </c>
      <c r="I31" s="9">
        <f t="shared" ca="1" si="1"/>
        <v>0.38761866808068879</v>
      </c>
    </row>
    <row r="32" spans="1:9" ht="42" x14ac:dyDescent="0.15">
      <c r="A32" s="1">
        <f t="shared" si="0"/>
        <v>31</v>
      </c>
      <c r="B32" s="1" t="s">
        <v>3253</v>
      </c>
      <c r="C32" s="1" t="s">
        <v>27</v>
      </c>
      <c r="D32" s="25" t="s">
        <v>108</v>
      </c>
      <c r="E32" s="28" t="s">
        <v>109</v>
      </c>
      <c r="F32" t="s">
        <v>110</v>
      </c>
      <c r="G32" s="3" t="s">
        <v>25</v>
      </c>
      <c r="H32" s="27">
        <v>0</v>
      </c>
      <c r="I32" s="9">
        <f t="shared" ca="1" si="1"/>
        <v>0.77037540171956076</v>
      </c>
    </row>
    <row r="33" spans="1:9" ht="70" hidden="1" x14ac:dyDescent="0.15">
      <c r="A33" s="1">
        <f t="shared" si="0"/>
        <v>32</v>
      </c>
      <c r="B33" s="1" t="s">
        <v>20</v>
      </c>
      <c r="C33" s="1" t="s">
        <v>16</v>
      </c>
      <c r="D33" s="25" t="s">
        <v>111</v>
      </c>
      <c r="E33" t="s">
        <v>106</v>
      </c>
      <c r="F33" t="s">
        <v>112</v>
      </c>
      <c r="G33" s="3" t="s">
        <v>52</v>
      </c>
      <c r="H33" s="27">
        <v>0</v>
      </c>
      <c r="I33" s="9">
        <f t="shared" ca="1" si="1"/>
        <v>0.51335563183856814</v>
      </c>
    </row>
    <row r="34" spans="1:9" ht="84" x14ac:dyDescent="0.15">
      <c r="A34" s="1">
        <f t="shared" si="0"/>
        <v>33</v>
      </c>
      <c r="B34" s="1" t="s">
        <v>3253</v>
      </c>
      <c r="C34" s="1" t="s">
        <v>27</v>
      </c>
      <c r="D34" s="25" t="s">
        <v>113</v>
      </c>
      <c r="E34" s="29" t="s">
        <v>114</v>
      </c>
      <c r="F34" t="s">
        <v>115</v>
      </c>
      <c r="G34" s="3" t="s">
        <v>25</v>
      </c>
      <c r="H34" s="27">
        <v>1</v>
      </c>
      <c r="I34" s="9">
        <f t="shared" ca="1" si="1"/>
        <v>1.1882450699006841E-2</v>
      </c>
    </row>
    <row r="35" spans="1:9" ht="28" hidden="1" x14ac:dyDescent="0.15">
      <c r="A35" s="1">
        <f t="shared" si="0"/>
        <v>34</v>
      </c>
      <c r="B35" s="1" t="s">
        <v>3253</v>
      </c>
      <c r="C35" s="1" t="s">
        <v>11</v>
      </c>
      <c r="D35" s="25" t="s">
        <v>116</v>
      </c>
      <c r="E35" s="24">
        <v>14</v>
      </c>
      <c r="F35" t="s">
        <v>117</v>
      </c>
      <c r="G35" s="3" t="s">
        <v>25</v>
      </c>
      <c r="H35" s="27">
        <v>1</v>
      </c>
      <c r="I35" s="9">
        <f t="shared" ca="1" si="1"/>
        <v>0.75136279821922758</v>
      </c>
    </row>
    <row r="36" spans="1:9" ht="42" x14ac:dyDescent="0.15">
      <c r="A36" s="1">
        <f t="shared" si="0"/>
        <v>35</v>
      </c>
      <c r="B36" s="1" t="s">
        <v>3253</v>
      </c>
      <c r="C36" s="1" t="s">
        <v>27</v>
      </c>
      <c r="D36" s="25" t="s">
        <v>118</v>
      </c>
      <c r="E36" s="28" t="s">
        <v>3296</v>
      </c>
      <c r="F36" t="s">
        <v>120</v>
      </c>
      <c r="G36" s="3" t="s">
        <v>25</v>
      </c>
      <c r="H36" s="27">
        <v>1</v>
      </c>
      <c r="I36" s="9">
        <f t="shared" ca="1" si="1"/>
        <v>0.37672741255333009</v>
      </c>
    </row>
    <row r="37" spans="1:9" ht="14" x14ac:dyDescent="0.15">
      <c r="A37" s="1">
        <f t="shared" si="0"/>
        <v>36</v>
      </c>
      <c r="B37" s="1" t="s">
        <v>20</v>
      </c>
      <c r="C37" s="1" t="s">
        <v>27</v>
      </c>
      <c r="D37" s="25" t="s">
        <v>121</v>
      </c>
      <c r="E37" s="28" t="s">
        <v>122</v>
      </c>
      <c r="F37" t="s">
        <v>123</v>
      </c>
      <c r="G37" s="3" t="s">
        <v>52</v>
      </c>
      <c r="H37" s="27">
        <v>0</v>
      </c>
      <c r="I37" s="9">
        <f t="shared" ca="1" si="1"/>
        <v>0.98602334275539649</v>
      </c>
    </row>
    <row r="38" spans="1:9" ht="14" hidden="1" x14ac:dyDescent="0.15">
      <c r="A38" s="1">
        <f t="shared" si="0"/>
        <v>37</v>
      </c>
      <c r="B38" s="1" t="s">
        <v>3253</v>
      </c>
      <c r="C38" s="1" t="s">
        <v>11</v>
      </c>
      <c r="D38" s="25" t="s">
        <v>124</v>
      </c>
      <c r="E38" t="s">
        <v>125</v>
      </c>
      <c r="F38" t="s">
        <v>126</v>
      </c>
      <c r="G38" s="3" t="s">
        <v>25</v>
      </c>
      <c r="H38" s="27">
        <v>0</v>
      </c>
      <c r="I38" s="9">
        <f t="shared" ca="1" si="1"/>
        <v>0.44008927743449866</v>
      </c>
    </row>
    <row r="39" spans="1:9" ht="85" x14ac:dyDescent="0.2">
      <c r="A39" s="1">
        <f t="shared" si="0"/>
        <v>38</v>
      </c>
      <c r="B39" s="1" t="s">
        <v>3253</v>
      </c>
      <c r="C39" s="2" t="s">
        <v>21</v>
      </c>
      <c r="D39" s="25" t="s">
        <v>3263</v>
      </c>
      <c r="E39" s="29" t="s">
        <v>127</v>
      </c>
      <c r="F39" t="s">
        <v>128</v>
      </c>
      <c r="G39" s="3" t="s">
        <v>25</v>
      </c>
      <c r="H39" s="27">
        <v>0</v>
      </c>
      <c r="I39" s="9">
        <f t="shared" ca="1" si="1"/>
        <v>0.52349366235847261</v>
      </c>
    </row>
    <row r="40" spans="1:9" ht="71" x14ac:dyDescent="0.2">
      <c r="A40" s="1">
        <f t="shared" si="0"/>
        <v>39</v>
      </c>
      <c r="B40" s="1" t="s">
        <v>3253</v>
      </c>
      <c r="C40" s="2" t="s">
        <v>21</v>
      </c>
      <c r="D40" s="25" t="s">
        <v>3262</v>
      </c>
      <c r="E40" s="29" t="s">
        <v>129</v>
      </c>
      <c r="F40" t="s">
        <v>130</v>
      </c>
      <c r="G40" s="3" t="s">
        <v>25</v>
      </c>
      <c r="H40" s="27">
        <v>0</v>
      </c>
      <c r="I40" s="9">
        <f t="shared" ca="1" si="1"/>
        <v>0.5211594584194208</v>
      </c>
    </row>
    <row r="41" spans="1:9" ht="71" x14ac:dyDescent="0.2">
      <c r="A41" s="1">
        <f t="shared" si="0"/>
        <v>40</v>
      </c>
      <c r="B41" s="1" t="s">
        <v>3253</v>
      </c>
      <c r="C41" s="2" t="s">
        <v>21</v>
      </c>
      <c r="D41" s="25" t="s">
        <v>3261</v>
      </c>
      <c r="E41" s="29" t="s">
        <v>106</v>
      </c>
      <c r="F41" t="s">
        <v>131</v>
      </c>
      <c r="G41" s="3" t="s">
        <v>25</v>
      </c>
      <c r="H41" s="27">
        <v>0</v>
      </c>
      <c r="I41" s="9">
        <f t="shared" ca="1" si="1"/>
        <v>3.7658961363615018E-2</v>
      </c>
    </row>
    <row r="42" spans="1:9" ht="15.75" customHeight="1" x14ac:dyDescent="0.2">
      <c r="A42" s="1">
        <f t="shared" si="0"/>
        <v>41</v>
      </c>
      <c r="B42" s="1" t="s">
        <v>3253</v>
      </c>
      <c r="C42" s="2" t="s">
        <v>21</v>
      </c>
      <c r="D42" s="25" t="s">
        <v>3260</v>
      </c>
      <c r="E42" s="29" t="s">
        <v>132</v>
      </c>
      <c r="F42" t="s">
        <v>133</v>
      </c>
      <c r="G42" s="3" t="s">
        <v>25</v>
      </c>
      <c r="H42" s="27">
        <v>0</v>
      </c>
      <c r="I42" s="9">
        <f t="shared" ca="1" si="1"/>
        <v>0.36487804691580772</v>
      </c>
    </row>
    <row r="43" spans="1:9" ht="15.75" customHeight="1" x14ac:dyDescent="0.2">
      <c r="A43" s="1">
        <f t="shared" si="0"/>
        <v>42</v>
      </c>
      <c r="B43" s="1" t="s">
        <v>3253</v>
      </c>
      <c r="C43" s="2" t="s">
        <v>21</v>
      </c>
      <c r="D43" s="25" t="s">
        <v>3259</v>
      </c>
      <c r="E43" s="29" t="s">
        <v>134</v>
      </c>
      <c r="F43" t="s">
        <v>135</v>
      </c>
      <c r="G43" s="3" t="s">
        <v>25</v>
      </c>
      <c r="H43" s="27">
        <v>0</v>
      </c>
      <c r="I43" s="9">
        <f t="shared" ca="1" si="1"/>
        <v>8.6538369238780999E-2</v>
      </c>
    </row>
    <row r="44" spans="1:9" ht="15.75" customHeight="1" x14ac:dyDescent="0.2">
      <c r="A44" s="1">
        <f t="shared" si="0"/>
        <v>43</v>
      </c>
      <c r="B44" s="1" t="s">
        <v>3253</v>
      </c>
      <c r="C44" s="2" t="s">
        <v>21</v>
      </c>
      <c r="D44" s="25" t="s">
        <v>3258</v>
      </c>
      <c r="E44" s="29" t="s">
        <v>136</v>
      </c>
      <c r="F44" t="s">
        <v>137</v>
      </c>
      <c r="G44" s="3" t="s">
        <v>25</v>
      </c>
      <c r="H44" s="27">
        <v>0</v>
      </c>
      <c r="I44" s="9">
        <f t="shared" ca="1" si="1"/>
        <v>0.65643773603754596</v>
      </c>
    </row>
    <row r="45" spans="1:9" ht="15.75" customHeight="1" x14ac:dyDescent="0.2">
      <c r="A45" s="1">
        <f t="shared" si="0"/>
        <v>44</v>
      </c>
      <c r="B45" s="1" t="s">
        <v>3253</v>
      </c>
      <c r="C45" s="2" t="s">
        <v>27</v>
      </c>
      <c r="D45" s="25" t="s">
        <v>138</v>
      </c>
      <c r="E45" s="28" t="s">
        <v>139</v>
      </c>
      <c r="F45" t="s">
        <v>140</v>
      </c>
      <c r="G45" s="3" t="s">
        <v>52</v>
      </c>
      <c r="H45" s="27">
        <v>0</v>
      </c>
      <c r="I45" s="9">
        <f t="shared" ca="1" si="1"/>
        <v>0.51081818322166017</v>
      </c>
    </row>
    <row r="46" spans="1:9" ht="15.75" customHeight="1" x14ac:dyDescent="0.2">
      <c r="A46" s="1">
        <f t="shared" si="0"/>
        <v>45</v>
      </c>
      <c r="B46" s="1" t="s">
        <v>3253</v>
      </c>
      <c r="C46" s="2" t="s">
        <v>21</v>
      </c>
      <c r="D46" s="25" t="s">
        <v>3264</v>
      </c>
      <c r="E46" s="29" t="s">
        <v>141</v>
      </c>
      <c r="F46" t="s">
        <v>142</v>
      </c>
      <c r="G46" s="3" t="s">
        <v>25</v>
      </c>
      <c r="H46" s="27">
        <v>0</v>
      </c>
      <c r="I46" s="9">
        <f t="shared" ca="1" si="1"/>
        <v>0.90899109750036577</v>
      </c>
    </row>
    <row r="47" spans="1:9" ht="15.75" customHeight="1" x14ac:dyDescent="0.2">
      <c r="A47" s="1">
        <f t="shared" si="0"/>
        <v>46</v>
      </c>
      <c r="B47" s="1" t="s">
        <v>3253</v>
      </c>
      <c r="C47" s="2" t="s">
        <v>32</v>
      </c>
      <c r="D47" s="25" t="s">
        <v>143</v>
      </c>
      <c r="E47" s="28" t="s">
        <v>174</v>
      </c>
      <c r="F47" t="s">
        <v>144</v>
      </c>
      <c r="G47" s="3" t="s">
        <v>25</v>
      </c>
      <c r="H47" s="27">
        <v>0</v>
      </c>
      <c r="I47" s="9">
        <f t="shared" ca="1" si="1"/>
        <v>3.957015197450231E-2</v>
      </c>
    </row>
    <row r="48" spans="1:9" ht="15.75" customHeight="1" x14ac:dyDescent="0.2">
      <c r="A48" s="1">
        <f t="shared" si="0"/>
        <v>47</v>
      </c>
      <c r="B48" s="1" t="s">
        <v>20</v>
      </c>
      <c r="C48" s="2" t="s">
        <v>32</v>
      </c>
      <c r="D48" s="25" t="s">
        <v>145</v>
      </c>
      <c r="E48" s="28" t="s">
        <v>286</v>
      </c>
      <c r="F48" t="s">
        <v>146</v>
      </c>
      <c r="G48" s="3" t="s">
        <v>52</v>
      </c>
      <c r="H48" s="27">
        <v>0</v>
      </c>
      <c r="I48" s="9">
        <f t="shared" ca="1" si="1"/>
        <v>0.34969109334734683</v>
      </c>
    </row>
    <row r="49" spans="1:9" ht="15.75" customHeight="1" x14ac:dyDescent="0.15">
      <c r="A49" s="1">
        <f t="shared" si="0"/>
        <v>48</v>
      </c>
      <c r="B49" s="1" t="s">
        <v>20</v>
      </c>
      <c r="C49" s="1" t="s">
        <v>27</v>
      </c>
      <c r="D49" s="25" t="s">
        <v>147</v>
      </c>
      <c r="E49" s="28" t="s">
        <v>148</v>
      </c>
      <c r="F49" t="s">
        <v>149</v>
      </c>
      <c r="G49" s="3" t="s">
        <v>52</v>
      </c>
      <c r="H49" s="27">
        <v>0</v>
      </c>
      <c r="I49" s="9">
        <f t="shared" ca="1" si="1"/>
        <v>0.6081315236710243</v>
      </c>
    </row>
    <row r="50" spans="1:9" ht="15.75" customHeight="1" x14ac:dyDescent="0.15">
      <c r="A50" s="1">
        <f t="shared" si="0"/>
        <v>49</v>
      </c>
      <c r="B50" s="1" t="s">
        <v>20</v>
      </c>
      <c r="C50" s="1" t="s">
        <v>32</v>
      </c>
      <c r="D50" s="25" t="s">
        <v>150</v>
      </c>
      <c r="E50" s="28" t="s">
        <v>286</v>
      </c>
      <c r="F50" t="s">
        <v>151</v>
      </c>
      <c r="G50" s="3" t="s">
        <v>52</v>
      </c>
      <c r="H50" s="27">
        <v>0</v>
      </c>
      <c r="I50" s="9">
        <f t="shared" ca="1" si="1"/>
        <v>0.89021164609351566</v>
      </c>
    </row>
    <row r="51" spans="1:9" ht="15.75" customHeight="1" x14ac:dyDescent="0.15">
      <c r="A51" s="1">
        <f t="shared" si="0"/>
        <v>50</v>
      </c>
      <c r="B51" s="1" t="s">
        <v>20</v>
      </c>
      <c r="C51" s="1" t="s">
        <v>27</v>
      </c>
      <c r="D51" s="25" t="s">
        <v>152</v>
      </c>
      <c r="E51" s="28" t="s">
        <v>153</v>
      </c>
      <c r="F51" t="s">
        <v>154</v>
      </c>
      <c r="G51" s="3" t="s">
        <v>52</v>
      </c>
      <c r="H51" s="27">
        <v>0</v>
      </c>
      <c r="I51" s="9">
        <f t="shared" ca="1" si="1"/>
        <v>0.60929901041170886</v>
      </c>
    </row>
    <row r="52" spans="1:9" ht="42" x14ac:dyDescent="0.15">
      <c r="A52" s="1">
        <f t="shared" si="0"/>
        <v>51</v>
      </c>
      <c r="B52" s="1" t="s">
        <v>20</v>
      </c>
      <c r="C52" s="1" t="s">
        <v>27</v>
      </c>
      <c r="D52" s="25" t="s">
        <v>155</v>
      </c>
      <c r="E52" s="28" t="s">
        <v>156</v>
      </c>
      <c r="F52" t="s">
        <v>157</v>
      </c>
      <c r="G52" s="3" t="s">
        <v>52</v>
      </c>
      <c r="H52" s="27">
        <v>0</v>
      </c>
      <c r="I52" s="9">
        <f t="shared" ca="1" si="1"/>
        <v>0.62097361599011613</v>
      </c>
    </row>
    <row r="53" spans="1:9" ht="70" hidden="1" x14ac:dyDescent="0.15">
      <c r="A53" s="1">
        <f t="shared" si="0"/>
        <v>52</v>
      </c>
      <c r="B53" s="1" t="s">
        <v>20</v>
      </c>
      <c r="C53" s="1" t="s">
        <v>16</v>
      </c>
      <c r="D53" s="25" t="s">
        <v>158</v>
      </c>
      <c r="E53" t="s">
        <v>159</v>
      </c>
      <c r="F53" t="s">
        <v>160</v>
      </c>
      <c r="G53" s="3" t="s">
        <v>52</v>
      </c>
      <c r="H53" s="27">
        <v>0</v>
      </c>
      <c r="I53" s="9">
        <f t="shared" ca="1" si="1"/>
        <v>0.91385055220438094</v>
      </c>
    </row>
    <row r="54" spans="1:9" ht="28" hidden="1" x14ac:dyDescent="0.15">
      <c r="A54" s="1">
        <f t="shared" si="0"/>
        <v>53</v>
      </c>
      <c r="B54" s="1" t="s">
        <v>3253</v>
      </c>
      <c r="C54" s="1" t="s">
        <v>11</v>
      </c>
      <c r="D54" s="25" t="s">
        <v>161</v>
      </c>
      <c r="E54" t="s">
        <v>162</v>
      </c>
      <c r="F54" t="s">
        <v>163</v>
      </c>
      <c r="G54" s="3" t="s">
        <v>25</v>
      </c>
      <c r="H54" s="27">
        <v>0</v>
      </c>
      <c r="I54" s="9">
        <f t="shared" ca="1" si="1"/>
        <v>0.93101270944093706</v>
      </c>
    </row>
    <row r="55" spans="1:9" ht="13.5" hidden="1" customHeight="1" thickBot="1" x14ac:dyDescent="0.25">
      <c r="A55" s="1">
        <f t="shared" si="0"/>
        <v>54</v>
      </c>
      <c r="B55" s="1" t="s">
        <v>3253</v>
      </c>
      <c r="C55" s="1" t="s">
        <v>11</v>
      </c>
      <c r="D55" s="25" t="s">
        <v>164</v>
      </c>
      <c r="E55" s="7" t="s">
        <v>165</v>
      </c>
      <c r="F55" s="7" t="s">
        <v>166</v>
      </c>
      <c r="G55" s="3" t="s">
        <v>25</v>
      </c>
      <c r="H55" s="27">
        <v>1</v>
      </c>
      <c r="I55" s="9">
        <f t="shared" ca="1" si="1"/>
        <v>0.1710088432572161</v>
      </c>
    </row>
    <row r="56" spans="1:9" ht="14" hidden="1" x14ac:dyDescent="0.15">
      <c r="A56" s="1">
        <f t="shared" si="0"/>
        <v>55</v>
      </c>
      <c r="B56" s="1" t="s">
        <v>3253</v>
      </c>
      <c r="C56" s="1" t="s">
        <v>11</v>
      </c>
      <c r="D56" s="25" t="s">
        <v>167</v>
      </c>
      <c r="E56" t="s">
        <v>168</v>
      </c>
      <c r="F56" t="s">
        <v>169</v>
      </c>
      <c r="G56" s="3" t="s">
        <v>52</v>
      </c>
      <c r="H56" s="27">
        <v>1</v>
      </c>
      <c r="I56" s="9">
        <f t="shared" ca="1" si="1"/>
        <v>0.57069823048447565</v>
      </c>
    </row>
    <row r="57" spans="1:9" ht="14" hidden="1" x14ac:dyDescent="0.15">
      <c r="A57" s="1">
        <f t="shared" si="0"/>
        <v>56</v>
      </c>
      <c r="B57" s="1" t="s">
        <v>3253</v>
      </c>
      <c r="C57" s="1" t="s">
        <v>11</v>
      </c>
      <c r="D57" s="25" t="s">
        <v>170</v>
      </c>
      <c r="E57" t="s">
        <v>171</v>
      </c>
      <c r="F57" t="s">
        <v>172</v>
      </c>
      <c r="G57" s="3" t="s">
        <v>52</v>
      </c>
      <c r="H57" s="27">
        <v>0</v>
      </c>
      <c r="I57" s="9">
        <f t="shared" ca="1" si="1"/>
        <v>0.57501581559693493</v>
      </c>
    </row>
    <row r="58" spans="1:9" ht="14" x14ac:dyDescent="0.15">
      <c r="A58" s="1">
        <f t="shared" si="0"/>
        <v>57</v>
      </c>
      <c r="B58" s="1" t="s">
        <v>3253</v>
      </c>
      <c r="C58" s="1" t="s">
        <v>32</v>
      </c>
      <c r="D58" s="25" t="s">
        <v>173</v>
      </c>
      <c r="E58" s="29" t="s">
        <v>174</v>
      </c>
      <c r="F58" t="s">
        <v>175</v>
      </c>
      <c r="G58" s="3" t="s">
        <v>25</v>
      </c>
      <c r="H58" s="27">
        <v>1</v>
      </c>
      <c r="I58" s="9">
        <f t="shared" ca="1" si="1"/>
        <v>0.99263665231932707</v>
      </c>
    </row>
    <row r="59" spans="1:9" ht="98" hidden="1" x14ac:dyDescent="0.15">
      <c r="A59" s="1">
        <f t="shared" si="0"/>
        <v>58</v>
      </c>
      <c r="B59" s="1" t="s">
        <v>3253</v>
      </c>
      <c r="C59" s="1" t="s">
        <v>16</v>
      </c>
      <c r="D59" s="25" t="s">
        <v>176</v>
      </c>
      <c r="E59" t="s">
        <v>106</v>
      </c>
      <c r="F59" t="s">
        <v>177</v>
      </c>
      <c r="G59" s="3" t="s">
        <v>52</v>
      </c>
      <c r="H59" s="27">
        <v>0</v>
      </c>
      <c r="I59" s="9">
        <f t="shared" ca="1" si="1"/>
        <v>0.64599662831021831</v>
      </c>
    </row>
    <row r="60" spans="1:9" ht="98" hidden="1" x14ac:dyDescent="0.15">
      <c r="A60" s="1">
        <f t="shared" si="0"/>
        <v>59</v>
      </c>
      <c r="B60" s="1" t="s">
        <v>3253</v>
      </c>
      <c r="C60" s="1" t="s">
        <v>16</v>
      </c>
      <c r="D60" s="25" t="s">
        <v>178</v>
      </c>
      <c r="E60" t="s">
        <v>98</v>
      </c>
      <c r="F60" t="s">
        <v>179</v>
      </c>
      <c r="G60" s="3" t="s">
        <v>25</v>
      </c>
      <c r="H60" s="27">
        <v>1</v>
      </c>
      <c r="I60" s="9">
        <f t="shared" ca="1" si="1"/>
        <v>7.0923032203912051E-2</v>
      </c>
    </row>
    <row r="61" spans="1:9" ht="98" hidden="1" x14ac:dyDescent="0.15">
      <c r="A61" s="1">
        <f t="shared" si="0"/>
        <v>60</v>
      </c>
      <c r="B61" s="1" t="s">
        <v>3253</v>
      </c>
      <c r="C61" s="1" t="s">
        <v>16</v>
      </c>
      <c r="D61" s="25" t="s">
        <v>180</v>
      </c>
      <c r="E61" t="s">
        <v>106</v>
      </c>
      <c r="F61" t="s">
        <v>181</v>
      </c>
      <c r="G61" s="3" t="s">
        <v>25</v>
      </c>
      <c r="H61" s="27">
        <v>1</v>
      </c>
      <c r="I61" s="9">
        <f t="shared" ca="1" si="1"/>
        <v>5.2492387673219731E-3</v>
      </c>
    </row>
    <row r="62" spans="1:9" ht="140" hidden="1" x14ac:dyDescent="0.15">
      <c r="A62" s="1">
        <f t="shared" si="0"/>
        <v>61</v>
      </c>
      <c r="B62" s="1" t="s">
        <v>3253</v>
      </c>
      <c r="C62" s="1" t="s">
        <v>16</v>
      </c>
      <c r="D62" s="25" t="s">
        <v>182</v>
      </c>
      <c r="E62" t="s">
        <v>106</v>
      </c>
      <c r="F62" t="s">
        <v>183</v>
      </c>
      <c r="G62" s="3" t="s">
        <v>15</v>
      </c>
      <c r="H62" s="27">
        <v>1</v>
      </c>
      <c r="I62" s="9">
        <f t="shared" ca="1" si="1"/>
        <v>0.72622097015541975</v>
      </c>
    </row>
    <row r="63" spans="1:9" ht="70" hidden="1" x14ac:dyDescent="0.15">
      <c r="A63" s="1">
        <f t="shared" si="0"/>
        <v>62</v>
      </c>
      <c r="B63" s="1" t="s">
        <v>3253</v>
      </c>
      <c r="C63" s="1" t="s">
        <v>16</v>
      </c>
      <c r="D63" s="25" t="s">
        <v>184</v>
      </c>
      <c r="E63" t="s">
        <v>159</v>
      </c>
      <c r="F63" t="s">
        <v>185</v>
      </c>
      <c r="G63" s="3" t="s">
        <v>52</v>
      </c>
      <c r="H63" s="27">
        <v>0</v>
      </c>
      <c r="I63" s="9">
        <f t="shared" ca="1" si="1"/>
        <v>0.45063437172252263</v>
      </c>
    </row>
    <row r="64" spans="1:9" ht="98" hidden="1" x14ac:dyDescent="0.15">
      <c r="A64" s="1">
        <f t="shared" si="0"/>
        <v>63</v>
      </c>
      <c r="B64" s="1" t="s">
        <v>3253</v>
      </c>
      <c r="C64" s="1" t="s">
        <v>16</v>
      </c>
      <c r="D64" s="25" t="s">
        <v>186</v>
      </c>
      <c r="E64" t="s">
        <v>159</v>
      </c>
      <c r="F64" t="s">
        <v>187</v>
      </c>
      <c r="G64" s="3" t="s">
        <v>25</v>
      </c>
      <c r="H64" s="27">
        <v>0</v>
      </c>
      <c r="I64" s="9">
        <f t="shared" ca="1" si="1"/>
        <v>0.61464311781916947</v>
      </c>
    </row>
    <row r="65" spans="1:9" ht="84" hidden="1" x14ac:dyDescent="0.15">
      <c r="A65" s="1">
        <f t="shared" si="0"/>
        <v>64</v>
      </c>
      <c r="B65" s="1" t="s">
        <v>3253</v>
      </c>
      <c r="C65" s="1" t="s">
        <v>16</v>
      </c>
      <c r="D65" s="25" t="s">
        <v>188</v>
      </c>
      <c r="E65" t="s">
        <v>127</v>
      </c>
      <c r="F65" t="s">
        <v>189</v>
      </c>
      <c r="G65" s="3" t="s">
        <v>25</v>
      </c>
      <c r="H65" s="27">
        <v>0</v>
      </c>
      <c r="I65" s="9">
        <f t="shared" ca="1" si="1"/>
        <v>0.14696017348664669</v>
      </c>
    </row>
    <row r="66" spans="1:9" ht="84" hidden="1" x14ac:dyDescent="0.15">
      <c r="A66" s="1">
        <f t="shared" si="0"/>
        <v>65</v>
      </c>
      <c r="B66" s="1" t="s">
        <v>3253</v>
      </c>
      <c r="C66" s="1" t="s">
        <v>16</v>
      </c>
      <c r="D66" s="25" t="s">
        <v>190</v>
      </c>
      <c r="E66" t="s">
        <v>106</v>
      </c>
      <c r="F66" t="s">
        <v>191</v>
      </c>
      <c r="G66" s="3" t="s">
        <v>25</v>
      </c>
      <c r="H66" s="27">
        <v>0</v>
      </c>
      <c r="I66" s="9">
        <f t="shared" ca="1" si="1"/>
        <v>0.73567100467686508</v>
      </c>
    </row>
    <row r="67" spans="1:9" ht="84" hidden="1" x14ac:dyDescent="0.15">
      <c r="A67" s="1">
        <f t="shared" ref="A67:A130" si="2">ROW() - 1</f>
        <v>66</v>
      </c>
      <c r="B67" s="1" t="s">
        <v>3253</v>
      </c>
      <c r="C67" s="1" t="s">
        <v>16</v>
      </c>
      <c r="D67" s="25" t="s">
        <v>192</v>
      </c>
      <c r="E67" t="s">
        <v>106</v>
      </c>
      <c r="F67" t="s">
        <v>193</v>
      </c>
      <c r="G67" s="3" t="s">
        <v>25</v>
      </c>
      <c r="H67" s="27">
        <v>1</v>
      </c>
      <c r="I67" s="9">
        <f t="shared" ca="1" si="1"/>
        <v>0.88155494694700409</v>
      </c>
    </row>
    <row r="68" spans="1:9" ht="112" hidden="1" x14ac:dyDescent="0.15">
      <c r="A68" s="1">
        <f t="shared" si="2"/>
        <v>67</v>
      </c>
      <c r="B68" s="1" t="s">
        <v>3253</v>
      </c>
      <c r="C68" s="1" t="s">
        <v>16</v>
      </c>
      <c r="D68" s="25" t="s">
        <v>194</v>
      </c>
      <c r="E68" t="s">
        <v>106</v>
      </c>
      <c r="F68" t="s">
        <v>195</v>
      </c>
      <c r="G68" s="3" t="s">
        <v>25</v>
      </c>
      <c r="H68" s="27">
        <v>1</v>
      </c>
      <c r="I68" s="9">
        <f t="shared" ref="I68:I131" ca="1" si="3">RAND()</f>
        <v>0.20382589524641037</v>
      </c>
    </row>
    <row r="69" spans="1:9" ht="98" hidden="1" x14ac:dyDescent="0.15">
      <c r="A69" s="1">
        <f t="shared" si="2"/>
        <v>68</v>
      </c>
      <c r="B69" s="1" t="s">
        <v>3253</v>
      </c>
      <c r="C69" s="1" t="s">
        <v>16</v>
      </c>
      <c r="D69" s="25" t="s">
        <v>196</v>
      </c>
      <c r="E69" t="s">
        <v>98</v>
      </c>
      <c r="F69" t="s">
        <v>197</v>
      </c>
      <c r="G69" s="3" t="s">
        <v>25</v>
      </c>
      <c r="H69" s="27">
        <v>0</v>
      </c>
      <c r="I69" s="9">
        <f t="shared" ca="1" si="3"/>
        <v>0.57418512459176874</v>
      </c>
    </row>
    <row r="70" spans="1:9" ht="112" hidden="1" x14ac:dyDescent="0.15">
      <c r="A70" s="1">
        <f t="shared" si="2"/>
        <v>69</v>
      </c>
      <c r="B70" s="1" t="s">
        <v>3253</v>
      </c>
      <c r="C70" s="1" t="s">
        <v>16</v>
      </c>
      <c r="D70" s="25" t="s">
        <v>198</v>
      </c>
      <c r="E70" t="s">
        <v>159</v>
      </c>
      <c r="F70" t="s">
        <v>199</v>
      </c>
      <c r="G70" s="3" t="s">
        <v>25</v>
      </c>
      <c r="H70" s="27">
        <v>1</v>
      </c>
      <c r="I70" s="9">
        <f t="shared" ca="1" si="3"/>
        <v>0.13958511056234968</v>
      </c>
    </row>
    <row r="71" spans="1:9" ht="112" hidden="1" x14ac:dyDescent="0.15">
      <c r="A71" s="1">
        <f t="shared" si="2"/>
        <v>70</v>
      </c>
      <c r="B71" s="1" t="s">
        <v>3253</v>
      </c>
      <c r="C71" s="1" t="s">
        <v>16</v>
      </c>
      <c r="D71" s="25" t="s">
        <v>200</v>
      </c>
      <c r="E71" t="s">
        <v>127</v>
      </c>
      <c r="F71" t="s">
        <v>201</v>
      </c>
      <c r="G71" s="3" t="s">
        <v>25</v>
      </c>
      <c r="H71" s="27">
        <v>1</v>
      </c>
      <c r="I71" s="9">
        <f t="shared" ca="1" si="3"/>
        <v>0.47240849833168552</v>
      </c>
    </row>
    <row r="72" spans="1:9" ht="84" hidden="1" x14ac:dyDescent="0.15">
      <c r="A72" s="1">
        <f t="shared" si="2"/>
        <v>71</v>
      </c>
      <c r="B72" s="1" t="s">
        <v>3253</v>
      </c>
      <c r="C72" s="1" t="s">
        <v>16</v>
      </c>
      <c r="D72" s="25" t="s">
        <v>202</v>
      </c>
      <c r="E72" t="s">
        <v>98</v>
      </c>
      <c r="F72" t="s">
        <v>203</v>
      </c>
      <c r="G72" s="3" t="s">
        <v>52</v>
      </c>
      <c r="H72" s="27">
        <v>1</v>
      </c>
      <c r="I72" s="9">
        <f t="shared" ca="1" si="3"/>
        <v>0.85939545669037909</v>
      </c>
    </row>
    <row r="73" spans="1:9" ht="70" x14ac:dyDescent="0.15">
      <c r="A73" s="1">
        <f t="shared" si="2"/>
        <v>72</v>
      </c>
      <c r="B73" s="1" t="s">
        <v>3253</v>
      </c>
      <c r="C73" s="1" t="s">
        <v>27</v>
      </c>
      <c r="D73" s="25" t="s">
        <v>204</v>
      </c>
      <c r="E73" s="29" t="s">
        <v>98</v>
      </c>
      <c r="F73" t="s">
        <v>205</v>
      </c>
      <c r="G73" s="3" t="s">
        <v>25</v>
      </c>
      <c r="H73" s="27">
        <v>1</v>
      </c>
      <c r="I73" s="9">
        <f t="shared" ca="1" si="3"/>
        <v>0.81530957334448484</v>
      </c>
    </row>
    <row r="74" spans="1:9" ht="98" hidden="1" x14ac:dyDescent="0.15">
      <c r="A74" s="1">
        <f t="shared" si="2"/>
        <v>73</v>
      </c>
      <c r="B74" s="1" t="s">
        <v>3253</v>
      </c>
      <c r="C74" s="1" t="s">
        <v>16</v>
      </c>
      <c r="D74" s="25" t="s">
        <v>206</v>
      </c>
      <c r="E74" t="s">
        <v>159</v>
      </c>
      <c r="F74" t="s">
        <v>207</v>
      </c>
      <c r="G74" s="3" t="s">
        <v>25</v>
      </c>
      <c r="H74" s="27">
        <v>1</v>
      </c>
      <c r="I74" s="9">
        <f t="shared" ca="1" si="3"/>
        <v>0.33990483926760806</v>
      </c>
    </row>
    <row r="75" spans="1:9" ht="154" hidden="1" x14ac:dyDescent="0.15">
      <c r="A75" s="1">
        <f t="shared" si="2"/>
        <v>74</v>
      </c>
      <c r="B75" s="1" t="s">
        <v>3253</v>
      </c>
      <c r="C75" s="1" t="s">
        <v>16</v>
      </c>
      <c r="D75" s="25" t="s">
        <v>208</v>
      </c>
      <c r="E75" t="s">
        <v>127</v>
      </c>
      <c r="F75" t="s">
        <v>209</v>
      </c>
      <c r="G75" s="3" t="s">
        <v>25</v>
      </c>
      <c r="H75" s="27">
        <v>1</v>
      </c>
      <c r="I75" s="9">
        <f t="shared" ca="1" si="3"/>
        <v>0.97737043667382706</v>
      </c>
    </row>
    <row r="76" spans="1:9" ht="98" x14ac:dyDescent="0.15">
      <c r="A76" s="1">
        <f t="shared" si="2"/>
        <v>75</v>
      </c>
      <c r="B76" s="1" t="s">
        <v>3253</v>
      </c>
      <c r="C76" s="1" t="s">
        <v>21</v>
      </c>
      <c r="D76" s="25" t="s">
        <v>3265</v>
      </c>
      <c r="E76" s="29" t="s">
        <v>127</v>
      </c>
      <c r="F76" t="s">
        <v>210</v>
      </c>
      <c r="G76" s="3" t="s">
        <v>25</v>
      </c>
      <c r="H76" s="27">
        <v>0</v>
      </c>
      <c r="I76" s="9">
        <f t="shared" ca="1" si="3"/>
        <v>0.98913460549074173</v>
      </c>
    </row>
    <row r="77" spans="1:9" ht="112" hidden="1" x14ac:dyDescent="0.15">
      <c r="A77" s="1">
        <f t="shared" si="2"/>
        <v>76</v>
      </c>
      <c r="B77" s="1" t="s">
        <v>3253</v>
      </c>
      <c r="C77" s="1" t="s">
        <v>16</v>
      </c>
      <c r="D77" s="25" t="s">
        <v>211</v>
      </c>
      <c r="E77" t="s">
        <v>127</v>
      </c>
      <c r="F77" t="s">
        <v>212</v>
      </c>
      <c r="G77" s="3" t="s">
        <v>25</v>
      </c>
      <c r="H77" s="27">
        <v>0</v>
      </c>
      <c r="I77" s="9">
        <f t="shared" ca="1" si="3"/>
        <v>0.38100365599597186</v>
      </c>
    </row>
    <row r="78" spans="1:9" ht="84" hidden="1" x14ac:dyDescent="0.15">
      <c r="A78" s="1">
        <f t="shared" si="2"/>
        <v>77</v>
      </c>
      <c r="B78" s="1" t="s">
        <v>3253</v>
      </c>
      <c r="C78" s="1" t="s">
        <v>16</v>
      </c>
      <c r="D78" s="25" t="s">
        <v>213</v>
      </c>
      <c r="E78" t="s">
        <v>159</v>
      </c>
      <c r="F78" t="s">
        <v>214</v>
      </c>
      <c r="G78" s="3" t="s">
        <v>52</v>
      </c>
      <c r="H78" s="27">
        <v>0</v>
      </c>
      <c r="I78" s="9">
        <f t="shared" ca="1" si="3"/>
        <v>0.17106747070230111</v>
      </c>
    </row>
    <row r="79" spans="1:9" ht="140" hidden="1" x14ac:dyDescent="0.15">
      <c r="A79" s="1">
        <f t="shared" si="2"/>
        <v>78</v>
      </c>
      <c r="B79" s="1" t="s">
        <v>3253</v>
      </c>
      <c r="C79" s="1" t="s">
        <v>16</v>
      </c>
      <c r="D79" s="25" t="s">
        <v>215</v>
      </c>
      <c r="E79" t="s">
        <v>127</v>
      </c>
      <c r="F79" t="s">
        <v>216</v>
      </c>
      <c r="G79" s="3" t="s">
        <v>25</v>
      </c>
      <c r="H79" s="27">
        <v>0</v>
      </c>
      <c r="I79" s="9">
        <f t="shared" ca="1" si="3"/>
        <v>0.62529710657070325</v>
      </c>
    </row>
    <row r="80" spans="1:9" ht="70" hidden="1" x14ac:dyDescent="0.15">
      <c r="A80" s="1">
        <f t="shared" si="2"/>
        <v>79</v>
      </c>
      <c r="B80" s="1" t="s">
        <v>3253</v>
      </c>
      <c r="C80" s="1" t="s">
        <v>16</v>
      </c>
      <c r="D80" s="25" t="s">
        <v>217</v>
      </c>
      <c r="E80" t="s">
        <v>106</v>
      </c>
      <c r="F80" t="s">
        <v>218</v>
      </c>
      <c r="G80" s="3" t="s">
        <v>25</v>
      </c>
      <c r="H80" s="27">
        <v>0</v>
      </c>
      <c r="I80" s="9">
        <f t="shared" ca="1" si="3"/>
        <v>0.68835881232218843</v>
      </c>
    </row>
    <row r="81" spans="1:9" ht="112" hidden="1" x14ac:dyDescent="0.15">
      <c r="A81" s="1">
        <f t="shared" si="2"/>
        <v>80</v>
      </c>
      <c r="B81" s="1" t="s">
        <v>3253</v>
      </c>
      <c r="C81" s="1" t="s">
        <v>16</v>
      </c>
      <c r="D81" s="25" t="s">
        <v>219</v>
      </c>
      <c r="E81" t="s">
        <v>106</v>
      </c>
      <c r="F81" t="s">
        <v>220</v>
      </c>
      <c r="G81" s="3" t="s">
        <v>25</v>
      </c>
      <c r="H81" s="27">
        <v>1</v>
      </c>
      <c r="I81" s="9">
        <f t="shared" ca="1" si="3"/>
        <v>0.86256501957735521</v>
      </c>
    </row>
    <row r="82" spans="1:9" ht="28" x14ac:dyDescent="0.15">
      <c r="A82" s="1">
        <f t="shared" si="2"/>
        <v>81</v>
      </c>
      <c r="B82" s="1" t="s">
        <v>3253</v>
      </c>
      <c r="C82" s="1" t="s">
        <v>27</v>
      </c>
      <c r="D82" s="25" t="s">
        <v>221</v>
      </c>
      <c r="E82" s="30">
        <v>80</v>
      </c>
      <c r="F82" t="s">
        <v>222</v>
      </c>
      <c r="G82" s="3" t="s">
        <v>52</v>
      </c>
      <c r="H82" s="27">
        <v>1</v>
      </c>
      <c r="I82" s="9">
        <f t="shared" ca="1" si="3"/>
        <v>0.99738941503422529</v>
      </c>
    </row>
    <row r="83" spans="1:9" ht="42" x14ac:dyDescent="0.15">
      <c r="A83" s="1">
        <f t="shared" si="2"/>
        <v>82</v>
      </c>
      <c r="B83" s="1" t="s">
        <v>3253</v>
      </c>
      <c r="C83" s="1" t="s">
        <v>27</v>
      </c>
      <c r="D83" s="25" t="s">
        <v>223</v>
      </c>
      <c r="E83" s="30">
        <v>13</v>
      </c>
      <c r="F83" t="s">
        <v>224</v>
      </c>
      <c r="G83" s="3" t="s">
        <v>25</v>
      </c>
      <c r="H83" s="27">
        <v>1</v>
      </c>
      <c r="I83" s="9">
        <f t="shared" ca="1" si="3"/>
        <v>0.5048940522067511</v>
      </c>
    </row>
    <row r="84" spans="1:9" ht="84" hidden="1" x14ac:dyDescent="0.15">
      <c r="A84" s="1">
        <f t="shared" si="2"/>
        <v>83</v>
      </c>
      <c r="B84" s="1" t="s">
        <v>3253</v>
      </c>
      <c r="C84" s="1" t="s">
        <v>16</v>
      </c>
      <c r="D84" s="25" t="s">
        <v>225</v>
      </c>
      <c r="E84" t="s">
        <v>127</v>
      </c>
      <c r="F84" t="s">
        <v>226</v>
      </c>
      <c r="G84" s="1" t="s">
        <v>25</v>
      </c>
      <c r="H84" s="27">
        <v>1</v>
      </c>
      <c r="I84" s="9">
        <f t="shared" ca="1" si="3"/>
        <v>0.44882111336232333</v>
      </c>
    </row>
    <row r="85" spans="1:9" ht="98" hidden="1" x14ac:dyDescent="0.15">
      <c r="A85" s="1">
        <f t="shared" si="2"/>
        <v>84</v>
      </c>
      <c r="B85" s="1" t="s">
        <v>3253</v>
      </c>
      <c r="C85" s="1" t="s">
        <v>16</v>
      </c>
      <c r="D85" s="25" t="s">
        <v>227</v>
      </c>
      <c r="E85" t="s">
        <v>98</v>
      </c>
      <c r="F85" t="s">
        <v>228</v>
      </c>
      <c r="G85" s="1" t="s">
        <v>25</v>
      </c>
      <c r="H85" s="27">
        <v>1</v>
      </c>
      <c r="I85" s="9">
        <f t="shared" ca="1" si="3"/>
        <v>0.46391533048839917</v>
      </c>
    </row>
    <row r="86" spans="1:9" ht="98" hidden="1" x14ac:dyDescent="0.15">
      <c r="A86" s="1">
        <f t="shared" si="2"/>
        <v>85</v>
      </c>
      <c r="B86" s="1" t="s">
        <v>3253</v>
      </c>
      <c r="C86" s="1" t="s">
        <v>16</v>
      </c>
      <c r="D86" s="25" t="s">
        <v>229</v>
      </c>
      <c r="E86" t="s">
        <v>98</v>
      </c>
      <c r="F86" t="s">
        <v>230</v>
      </c>
      <c r="G86" s="3" t="s">
        <v>25</v>
      </c>
      <c r="H86" s="27">
        <v>1</v>
      </c>
      <c r="I86" s="9">
        <f t="shared" ca="1" si="3"/>
        <v>0.74473820426145887</v>
      </c>
    </row>
    <row r="87" spans="1:9" ht="98" hidden="1" x14ac:dyDescent="0.15">
      <c r="A87" s="1">
        <f t="shared" si="2"/>
        <v>86</v>
      </c>
      <c r="B87" s="1" t="s">
        <v>3253</v>
      </c>
      <c r="C87" s="1" t="s">
        <v>16</v>
      </c>
      <c r="D87" s="25" t="s">
        <v>231</v>
      </c>
      <c r="E87" t="s">
        <v>159</v>
      </c>
      <c r="F87" t="s">
        <v>232</v>
      </c>
      <c r="G87" s="3" t="s">
        <v>25</v>
      </c>
      <c r="H87" s="27">
        <v>1</v>
      </c>
      <c r="I87" s="9">
        <f t="shared" ca="1" si="3"/>
        <v>0.22740261425575203</v>
      </c>
    </row>
    <row r="88" spans="1:9" ht="112" hidden="1" x14ac:dyDescent="0.15">
      <c r="A88" s="1">
        <f t="shared" si="2"/>
        <v>87</v>
      </c>
      <c r="B88" s="1" t="s">
        <v>3253</v>
      </c>
      <c r="C88" s="1" t="s">
        <v>16</v>
      </c>
      <c r="D88" s="25" t="s">
        <v>233</v>
      </c>
      <c r="E88" t="s">
        <v>127</v>
      </c>
      <c r="F88" t="s">
        <v>234</v>
      </c>
      <c r="G88" s="3" t="s">
        <v>25</v>
      </c>
      <c r="H88" s="27">
        <v>0</v>
      </c>
      <c r="I88" s="9">
        <f t="shared" ca="1" si="3"/>
        <v>0.72480326695848463</v>
      </c>
    </row>
    <row r="89" spans="1:9" ht="112" hidden="1" x14ac:dyDescent="0.15">
      <c r="A89" s="1">
        <f t="shared" si="2"/>
        <v>88</v>
      </c>
      <c r="B89" s="1" t="s">
        <v>3253</v>
      </c>
      <c r="C89" s="1" t="s">
        <v>16</v>
      </c>
      <c r="D89" s="25" t="s">
        <v>235</v>
      </c>
      <c r="E89" t="s">
        <v>98</v>
      </c>
      <c r="F89" t="s">
        <v>236</v>
      </c>
      <c r="G89" s="3" t="s">
        <v>25</v>
      </c>
      <c r="H89" s="27">
        <v>1</v>
      </c>
      <c r="I89" s="9">
        <f t="shared" ca="1" si="3"/>
        <v>0.63246627979296877</v>
      </c>
    </row>
    <row r="90" spans="1:9" ht="28" x14ac:dyDescent="0.15">
      <c r="A90" s="1">
        <f t="shared" si="2"/>
        <v>89</v>
      </c>
      <c r="B90" s="1" t="s">
        <v>3253</v>
      </c>
      <c r="C90" s="1" t="s">
        <v>27</v>
      </c>
      <c r="D90" s="25" t="s">
        <v>237</v>
      </c>
      <c r="E90" s="30">
        <v>511</v>
      </c>
      <c r="F90" t="s">
        <v>238</v>
      </c>
      <c r="G90" s="3" t="s">
        <v>25</v>
      </c>
      <c r="H90" s="27">
        <v>1</v>
      </c>
      <c r="I90" s="9">
        <f t="shared" ca="1" si="3"/>
        <v>0.33934848052909983</v>
      </c>
    </row>
    <row r="91" spans="1:9" ht="98" hidden="1" x14ac:dyDescent="0.15">
      <c r="A91" s="1">
        <f t="shared" si="2"/>
        <v>90</v>
      </c>
      <c r="B91" s="1" t="s">
        <v>3253</v>
      </c>
      <c r="C91" s="1" t="s">
        <v>16</v>
      </c>
      <c r="D91" s="25" t="s">
        <v>239</v>
      </c>
      <c r="E91" t="s">
        <v>98</v>
      </c>
      <c r="F91" t="s">
        <v>240</v>
      </c>
      <c r="G91" s="3" t="s">
        <v>25</v>
      </c>
      <c r="H91" s="27">
        <v>0</v>
      </c>
      <c r="I91" s="9">
        <f t="shared" ca="1" si="3"/>
        <v>0.69650993804458716</v>
      </c>
    </row>
    <row r="92" spans="1:9" ht="84" x14ac:dyDescent="0.15">
      <c r="A92" s="1">
        <f t="shared" si="2"/>
        <v>91</v>
      </c>
      <c r="B92" s="1" t="s">
        <v>3253</v>
      </c>
      <c r="C92" s="1" t="s">
        <v>21</v>
      </c>
      <c r="D92" s="25" t="s">
        <v>3266</v>
      </c>
      <c r="E92" s="29" t="s">
        <v>241</v>
      </c>
      <c r="F92" t="s">
        <v>242</v>
      </c>
      <c r="G92" s="3" t="s">
        <v>25</v>
      </c>
      <c r="H92" s="27">
        <v>1</v>
      </c>
      <c r="I92" s="9">
        <f t="shared" ca="1" si="3"/>
        <v>3.570788302964889E-2</v>
      </c>
    </row>
    <row r="93" spans="1:9" ht="14" hidden="1" x14ac:dyDescent="0.15">
      <c r="A93" s="1">
        <f t="shared" si="2"/>
        <v>92</v>
      </c>
      <c r="B93" s="1" t="s">
        <v>3253</v>
      </c>
      <c r="C93" s="1" t="s">
        <v>11</v>
      </c>
      <c r="D93" s="25" t="s">
        <v>243</v>
      </c>
      <c r="E93" t="s">
        <v>244</v>
      </c>
      <c r="F93" t="s">
        <v>245</v>
      </c>
      <c r="G93" s="3" t="s">
        <v>52</v>
      </c>
      <c r="H93" s="27">
        <v>0</v>
      </c>
      <c r="I93" s="9">
        <f t="shared" ca="1" si="3"/>
        <v>0.14665777566209748</v>
      </c>
    </row>
    <row r="94" spans="1:9" ht="14" hidden="1" x14ac:dyDescent="0.15">
      <c r="A94" s="1">
        <f t="shared" si="2"/>
        <v>93</v>
      </c>
      <c r="B94" s="1" t="s">
        <v>3253</v>
      </c>
      <c r="C94" s="1" t="s">
        <v>11</v>
      </c>
      <c r="D94" s="25" t="s">
        <v>246</v>
      </c>
      <c r="E94" t="s">
        <v>247</v>
      </c>
      <c r="F94" t="s">
        <v>248</v>
      </c>
      <c r="G94" s="3" t="s">
        <v>25</v>
      </c>
      <c r="H94" s="27">
        <v>1</v>
      </c>
      <c r="I94" s="9">
        <f t="shared" ca="1" si="3"/>
        <v>0.60563315343983937</v>
      </c>
    </row>
    <row r="95" spans="1:9" ht="14" hidden="1" x14ac:dyDescent="0.15">
      <c r="A95" s="1">
        <f t="shared" si="2"/>
        <v>94</v>
      </c>
      <c r="B95" s="1" t="s">
        <v>3253</v>
      </c>
      <c r="C95" s="1" t="s">
        <v>11</v>
      </c>
      <c r="D95" s="25" t="s">
        <v>249</v>
      </c>
      <c r="E95" t="s">
        <v>250</v>
      </c>
      <c r="F95" t="s">
        <v>251</v>
      </c>
      <c r="G95" s="3" t="s">
        <v>52</v>
      </c>
      <c r="H95" s="27">
        <v>0</v>
      </c>
      <c r="I95" s="9">
        <f t="shared" ca="1" si="3"/>
        <v>0.75703444514486062</v>
      </c>
    </row>
    <row r="96" spans="1:9" ht="14" hidden="1" x14ac:dyDescent="0.15">
      <c r="A96" s="1">
        <f t="shared" si="2"/>
        <v>95</v>
      </c>
      <c r="B96" s="1" t="s">
        <v>31</v>
      </c>
      <c r="C96" s="1" t="s">
        <v>11</v>
      </c>
      <c r="D96" s="25" t="s">
        <v>252</v>
      </c>
      <c r="E96" t="s">
        <v>253</v>
      </c>
      <c r="F96" t="s">
        <v>254</v>
      </c>
      <c r="G96" s="3" t="s">
        <v>52</v>
      </c>
      <c r="H96" s="27">
        <v>0</v>
      </c>
      <c r="I96" s="9">
        <f t="shared" ca="1" si="3"/>
        <v>0.78119820173724408</v>
      </c>
    </row>
    <row r="97" spans="1:9" ht="14" hidden="1" x14ac:dyDescent="0.15">
      <c r="A97" s="1">
        <f t="shared" si="2"/>
        <v>96</v>
      </c>
      <c r="B97" s="1" t="s">
        <v>31</v>
      </c>
      <c r="C97" s="1" t="s">
        <v>11</v>
      </c>
      <c r="D97" s="25" t="s">
        <v>255</v>
      </c>
      <c r="E97" t="s">
        <v>256</v>
      </c>
      <c r="F97" t="s">
        <v>257</v>
      </c>
      <c r="G97" s="3" t="s">
        <v>52</v>
      </c>
      <c r="H97" s="27">
        <v>0</v>
      </c>
      <c r="I97" s="9">
        <f t="shared" ca="1" si="3"/>
        <v>0.23201807483730441</v>
      </c>
    </row>
    <row r="98" spans="1:9" ht="14" x14ac:dyDescent="0.15">
      <c r="A98" s="1">
        <f t="shared" si="2"/>
        <v>97</v>
      </c>
      <c r="B98" s="1" t="s">
        <v>31</v>
      </c>
      <c r="C98" s="1" t="s">
        <v>27</v>
      </c>
      <c r="D98" s="25" t="s">
        <v>258</v>
      </c>
      <c r="E98" s="29" t="s">
        <v>259</v>
      </c>
      <c r="F98" t="s">
        <v>260</v>
      </c>
      <c r="G98" s="3" t="s">
        <v>52</v>
      </c>
      <c r="H98" s="27">
        <v>0</v>
      </c>
      <c r="I98" s="9">
        <f t="shared" ca="1" si="3"/>
        <v>0.10483535075347972</v>
      </c>
    </row>
    <row r="99" spans="1:9" ht="14" x14ac:dyDescent="0.15">
      <c r="A99" s="1">
        <f t="shared" si="2"/>
        <v>98</v>
      </c>
      <c r="B99" s="1" t="s">
        <v>31</v>
      </c>
      <c r="C99" s="1" t="s">
        <v>27</v>
      </c>
      <c r="D99" s="25" t="s">
        <v>261</v>
      </c>
      <c r="E99" s="29" t="s">
        <v>262</v>
      </c>
      <c r="F99" t="s">
        <v>263</v>
      </c>
      <c r="G99" s="3" t="s">
        <v>52</v>
      </c>
      <c r="H99" s="27">
        <v>0</v>
      </c>
      <c r="I99" s="9">
        <f t="shared" ca="1" si="3"/>
        <v>0.69600251606887931</v>
      </c>
    </row>
    <row r="100" spans="1:9" ht="42" hidden="1" x14ac:dyDescent="0.15">
      <c r="A100" s="1">
        <f t="shared" si="2"/>
        <v>99</v>
      </c>
      <c r="B100" s="1" t="s">
        <v>31</v>
      </c>
      <c r="C100" s="1" t="s">
        <v>11</v>
      </c>
      <c r="D100" s="25" t="s">
        <v>264</v>
      </c>
      <c r="E100" t="s">
        <v>265</v>
      </c>
      <c r="F100" t="s">
        <v>266</v>
      </c>
      <c r="G100" s="3" t="s">
        <v>52</v>
      </c>
      <c r="H100" s="27">
        <v>1</v>
      </c>
      <c r="I100" s="9">
        <f t="shared" ca="1" si="3"/>
        <v>9.3648645930644814E-2</v>
      </c>
    </row>
    <row r="101" spans="1:9" ht="42" hidden="1" x14ac:dyDescent="0.15">
      <c r="A101" s="1">
        <f t="shared" si="2"/>
        <v>100</v>
      </c>
      <c r="B101" s="1" t="s">
        <v>31</v>
      </c>
      <c r="C101" s="1" t="s">
        <v>11</v>
      </c>
      <c r="D101" s="25" t="s">
        <v>267</v>
      </c>
      <c r="E101" t="s">
        <v>268</v>
      </c>
      <c r="F101" t="s">
        <v>269</v>
      </c>
      <c r="G101" s="1" t="s">
        <v>25</v>
      </c>
      <c r="H101" s="27">
        <v>1</v>
      </c>
      <c r="I101" s="9">
        <f t="shared" ca="1" si="3"/>
        <v>0.41276751458762384</v>
      </c>
    </row>
    <row r="102" spans="1:9" ht="140" hidden="1" x14ac:dyDescent="0.15">
      <c r="A102" s="1">
        <f t="shared" si="2"/>
        <v>101</v>
      </c>
      <c r="B102" s="1" t="s">
        <v>31</v>
      </c>
      <c r="C102" s="1" t="s">
        <v>11</v>
      </c>
      <c r="D102" s="25" t="s">
        <v>270</v>
      </c>
      <c r="E102" t="s">
        <v>271</v>
      </c>
      <c r="F102" t="s">
        <v>272</v>
      </c>
      <c r="G102" s="1" t="s">
        <v>25</v>
      </c>
      <c r="H102" s="27">
        <v>1</v>
      </c>
      <c r="I102" s="9">
        <f t="shared" ca="1" si="3"/>
        <v>0.31863880401859812</v>
      </c>
    </row>
    <row r="103" spans="1:9" ht="140" hidden="1" x14ac:dyDescent="0.15">
      <c r="A103" s="1">
        <f t="shared" si="2"/>
        <v>102</v>
      </c>
      <c r="B103" s="1" t="s">
        <v>31</v>
      </c>
      <c r="C103" s="1" t="s">
        <v>11</v>
      </c>
      <c r="D103" s="25" t="s">
        <v>273</v>
      </c>
      <c r="E103" t="s">
        <v>274</v>
      </c>
      <c r="F103" t="s">
        <v>275</v>
      </c>
      <c r="G103" s="1" t="s">
        <v>25</v>
      </c>
      <c r="H103" s="27">
        <v>1</v>
      </c>
      <c r="I103" s="9">
        <f t="shared" ca="1" si="3"/>
        <v>0.58161806481378431</v>
      </c>
    </row>
    <row r="104" spans="1:9" ht="140" hidden="1" x14ac:dyDescent="0.15">
      <c r="A104" s="1">
        <f t="shared" si="2"/>
        <v>103</v>
      </c>
      <c r="B104" s="1" t="s">
        <v>31</v>
      </c>
      <c r="C104" s="1" t="s">
        <v>11</v>
      </c>
      <c r="D104" s="25" t="s">
        <v>276</v>
      </c>
      <c r="E104" t="s">
        <v>277</v>
      </c>
      <c r="F104" t="s">
        <v>278</v>
      </c>
      <c r="G104" s="1" t="s">
        <v>25</v>
      </c>
      <c r="H104" s="27">
        <v>1</v>
      </c>
      <c r="I104" s="9">
        <f t="shared" ca="1" si="3"/>
        <v>0.21975769633986519</v>
      </c>
    </row>
    <row r="105" spans="1:9" ht="126" hidden="1" x14ac:dyDescent="0.15">
      <c r="A105" s="1">
        <f t="shared" si="2"/>
        <v>104</v>
      </c>
      <c r="B105" s="1" t="s">
        <v>31</v>
      </c>
      <c r="C105" s="1" t="s">
        <v>11</v>
      </c>
      <c r="D105" s="25" t="s">
        <v>279</v>
      </c>
      <c r="E105" t="s">
        <v>280</v>
      </c>
      <c r="F105" t="s">
        <v>281</v>
      </c>
      <c r="G105" s="3" t="s">
        <v>15</v>
      </c>
      <c r="H105" s="27">
        <v>1</v>
      </c>
      <c r="I105" s="9">
        <f t="shared" ca="1" si="3"/>
        <v>0.88900168266743718</v>
      </c>
    </row>
    <row r="106" spans="1:9" ht="14" hidden="1" x14ac:dyDescent="0.15">
      <c r="A106" s="1">
        <f t="shared" si="2"/>
        <v>105</v>
      </c>
      <c r="B106" s="1" t="s">
        <v>31</v>
      </c>
      <c r="C106" s="1" t="s">
        <v>11</v>
      </c>
      <c r="D106" s="25" t="s">
        <v>282</v>
      </c>
      <c r="E106" t="s">
        <v>283</v>
      </c>
      <c r="F106" t="s">
        <v>284</v>
      </c>
      <c r="G106" s="3" t="s">
        <v>52</v>
      </c>
      <c r="H106" s="27">
        <v>0</v>
      </c>
      <c r="I106" s="9">
        <f t="shared" ca="1" si="3"/>
        <v>0.47356304758085532</v>
      </c>
    </row>
    <row r="107" spans="1:9" ht="14" x14ac:dyDescent="0.15">
      <c r="A107" s="1">
        <f t="shared" si="2"/>
        <v>106</v>
      </c>
      <c r="B107" s="1" t="s">
        <v>31</v>
      </c>
      <c r="C107" s="1" t="s">
        <v>32</v>
      </c>
      <c r="D107" s="25" t="s">
        <v>285</v>
      </c>
      <c r="E107" s="29" t="s">
        <v>286</v>
      </c>
      <c r="F107" t="s">
        <v>287</v>
      </c>
      <c r="G107" s="3" t="s">
        <v>52</v>
      </c>
      <c r="H107" s="27">
        <v>0</v>
      </c>
      <c r="I107" s="9">
        <f t="shared" ca="1" si="3"/>
        <v>0.61209417885531037</v>
      </c>
    </row>
    <row r="108" spans="1:9" ht="14" x14ac:dyDescent="0.15">
      <c r="A108" s="1">
        <f t="shared" si="2"/>
        <v>107</v>
      </c>
      <c r="B108" s="1" t="s">
        <v>31</v>
      </c>
      <c r="C108" s="1" t="s">
        <v>32</v>
      </c>
      <c r="D108" s="25" t="s">
        <v>288</v>
      </c>
      <c r="E108" s="29" t="s">
        <v>174</v>
      </c>
      <c r="F108" t="s">
        <v>289</v>
      </c>
      <c r="G108" s="3" t="s">
        <v>52</v>
      </c>
      <c r="H108" s="27">
        <v>0</v>
      </c>
      <c r="I108" s="9">
        <f t="shared" ca="1" si="3"/>
        <v>0.70033378210375141</v>
      </c>
    </row>
    <row r="109" spans="1:9" ht="14" x14ac:dyDescent="0.15">
      <c r="A109" s="1">
        <f t="shared" si="2"/>
        <v>108</v>
      </c>
      <c r="B109" s="1" t="s">
        <v>31</v>
      </c>
      <c r="C109" s="1" t="s">
        <v>32</v>
      </c>
      <c r="D109" s="25" t="s">
        <v>290</v>
      </c>
      <c r="E109" s="29" t="s">
        <v>174</v>
      </c>
      <c r="F109" t="s">
        <v>291</v>
      </c>
      <c r="G109" s="3" t="s">
        <v>52</v>
      </c>
      <c r="H109" s="27">
        <v>0</v>
      </c>
      <c r="I109" s="9">
        <f t="shared" ca="1" si="3"/>
        <v>0.78296709525804042</v>
      </c>
    </row>
    <row r="110" spans="1:9" ht="28" x14ac:dyDescent="0.15">
      <c r="A110" s="1">
        <f t="shared" si="2"/>
        <v>109</v>
      </c>
      <c r="B110" s="1" t="s">
        <v>31</v>
      </c>
      <c r="C110" s="1" t="s">
        <v>32</v>
      </c>
      <c r="D110" s="25" t="s">
        <v>292</v>
      </c>
      <c r="E110" s="29" t="s">
        <v>286</v>
      </c>
      <c r="F110" t="s">
        <v>293</v>
      </c>
      <c r="G110" s="3" t="s">
        <v>25</v>
      </c>
      <c r="H110" s="27">
        <v>0</v>
      </c>
      <c r="I110" s="9">
        <f t="shared" ca="1" si="3"/>
        <v>0.45115776217153802</v>
      </c>
    </row>
    <row r="111" spans="1:9" ht="56" x14ac:dyDescent="0.15">
      <c r="A111" s="1">
        <f t="shared" si="2"/>
        <v>110</v>
      </c>
      <c r="B111" s="1" t="s">
        <v>31</v>
      </c>
      <c r="C111" s="1" t="s">
        <v>32</v>
      </c>
      <c r="D111" s="25" t="s">
        <v>294</v>
      </c>
      <c r="E111" s="29" t="s">
        <v>286</v>
      </c>
      <c r="F111" t="s">
        <v>295</v>
      </c>
      <c r="G111" s="3" t="s">
        <v>25</v>
      </c>
      <c r="H111" s="27">
        <v>0</v>
      </c>
      <c r="I111" s="9">
        <f t="shared" ca="1" si="3"/>
        <v>0.48099477653546374</v>
      </c>
    </row>
    <row r="112" spans="1:9" ht="28" x14ac:dyDescent="0.15">
      <c r="A112" s="1">
        <f t="shared" si="2"/>
        <v>111</v>
      </c>
      <c r="B112" s="1" t="s">
        <v>31</v>
      </c>
      <c r="C112" s="1" t="s">
        <v>32</v>
      </c>
      <c r="D112" s="25" t="s">
        <v>296</v>
      </c>
      <c r="E112" s="29" t="s">
        <v>174</v>
      </c>
      <c r="F112" t="s">
        <v>297</v>
      </c>
      <c r="G112" s="3" t="s">
        <v>52</v>
      </c>
      <c r="H112" s="27">
        <v>0</v>
      </c>
      <c r="I112" s="9">
        <f t="shared" ca="1" si="3"/>
        <v>0.79125448588180014</v>
      </c>
    </row>
    <row r="113" spans="1:9" ht="28" x14ac:dyDescent="0.15">
      <c r="A113" s="1">
        <f t="shared" si="2"/>
        <v>112</v>
      </c>
      <c r="B113" s="1" t="s">
        <v>31</v>
      </c>
      <c r="C113" s="1" t="s">
        <v>32</v>
      </c>
      <c r="D113" s="25" t="s">
        <v>298</v>
      </c>
      <c r="E113" s="29" t="s">
        <v>286</v>
      </c>
      <c r="F113" t="s">
        <v>299</v>
      </c>
      <c r="G113" s="3" t="s">
        <v>25</v>
      </c>
      <c r="H113" s="27">
        <v>1</v>
      </c>
      <c r="I113" s="9">
        <f t="shared" ca="1" si="3"/>
        <v>0.9730865164043746</v>
      </c>
    </row>
    <row r="114" spans="1:9" ht="28" x14ac:dyDescent="0.15">
      <c r="A114" s="1">
        <f t="shared" si="2"/>
        <v>113</v>
      </c>
      <c r="B114" s="1" t="s">
        <v>31</v>
      </c>
      <c r="C114" s="1" t="s">
        <v>32</v>
      </c>
      <c r="D114" s="25" t="s">
        <v>300</v>
      </c>
      <c r="E114" s="29" t="s">
        <v>286</v>
      </c>
      <c r="F114" t="s">
        <v>301</v>
      </c>
      <c r="G114" s="3" t="s">
        <v>52</v>
      </c>
      <c r="H114" s="27">
        <v>0</v>
      </c>
      <c r="I114" s="9">
        <f t="shared" ca="1" si="3"/>
        <v>0.38629165841732749</v>
      </c>
    </row>
    <row r="115" spans="1:9" ht="112" hidden="1" x14ac:dyDescent="0.15">
      <c r="A115" s="1">
        <f t="shared" si="2"/>
        <v>114</v>
      </c>
      <c r="B115" s="1" t="s">
        <v>31</v>
      </c>
      <c r="C115" s="1" t="s">
        <v>11</v>
      </c>
      <c r="D115" s="25" t="s">
        <v>302</v>
      </c>
      <c r="E115" t="s">
        <v>303</v>
      </c>
      <c r="F115" t="s">
        <v>304</v>
      </c>
      <c r="G115" s="1" t="s">
        <v>25</v>
      </c>
      <c r="H115" s="27">
        <v>1</v>
      </c>
      <c r="I115" s="9">
        <f t="shared" ca="1" si="3"/>
        <v>3.8886621461497017E-2</v>
      </c>
    </row>
    <row r="116" spans="1:9" ht="126" hidden="1" x14ac:dyDescent="0.15">
      <c r="A116" s="1">
        <f t="shared" si="2"/>
        <v>115</v>
      </c>
      <c r="B116" s="1" t="s">
        <v>31</v>
      </c>
      <c r="C116" s="1" t="s">
        <v>11</v>
      </c>
      <c r="D116" s="25" t="s">
        <v>305</v>
      </c>
      <c r="E116" t="s">
        <v>306</v>
      </c>
      <c r="F116" t="s">
        <v>307</v>
      </c>
      <c r="G116" s="1" t="s">
        <v>25</v>
      </c>
      <c r="H116" s="27">
        <v>1</v>
      </c>
      <c r="I116" s="9">
        <f t="shared" ca="1" si="3"/>
        <v>0.58077888611884521</v>
      </c>
    </row>
    <row r="117" spans="1:9" ht="42" hidden="1" x14ac:dyDescent="0.15">
      <c r="A117" s="1">
        <f t="shared" si="2"/>
        <v>116</v>
      </c>
      <c r="B117" s="1" t="s">
        <v>31</v>
      </c>
      <c r="C117" s="1" t="s">
        <v>11</v>
      </c>
      <c r="D117" s="25" t="s">
        <v>308</v>
      </c>
      <c r="E117" t="s">
        <v>309</v>
      </c>
      <c r="F117" t="s">
        <v>310</v>
      </c>
      <c r="G117" s="1" t="s">
        <v>25</v>
      </c>
      <c r="H117" s="27">
        <v>0</v>
      </c>
      <c r="I117" s="9">
        <f t="shared" ca="1" si="3"/>
        <v>0.75054083701557162</v>
      </c>
    </row>
    <row r="118" spans="1:9" ht="42" hidden="1" x14ac:dyDescent="0.15">
      <c r="A118" s="1">
        <f t="shared" si="2"/>
        <v>117</v>
      </c>
      <c r="B118" s="1" t="s">
        <v>36</v>
      </c>
      <c r="C118" s="1" t="s">
        <v>11</v>
      </c>
      <c r="D118" s="25" t="s">
        <v>311</v>
      </c>
      <c r="E118" t="s">
        <v>312</v>
      </c>
      <c r="F118" t="s">
        <v>313</v>
      </c>
      <c r="G118" s="3" t="s">
        <v>15</v>
      </c>
      <c r="H118" s="27">
        <v>1</v>
      </c>
      <c r="I118" s="9">
        <f t="shared" ca="1" si="3"/>
        <v>0.79920646940279361</v>
      </c>
    </row>
    <row r="119" spans="1:9" ht="42" hidden="1" x14ac:dyDescent="0.15">
      <c r="A119" s="1">
        <f t="shared" si="2"/>
        <v>118</v>
      </c>
      <c r="B119" s="1" t="s">
        <v>36</v>
      </c>
      <c r="C119" s="1" t="s">
        <v>11</v>
      </c>
      <c r="D119" s="25" t="s">
        <v>314</v>
      </c>
      <c r="E119" t="s">
        <v>315</v>
      </c>
      <c r="F119" t="s">
        <v>316</v>
      </c>
      <c r="G119" s="3" t="s">
        <v>15</v>
      </c>
      <c r="H119" s="27">
        <v>1</v>
      </c>
      <c r="I119" s="9">
        <f t="shared" ca="1" si="3"/>
        <v>0.34637726365415478</v>
      </c>
    </row>
    <row r="120" spans="1:9" ht="70" hidden="1" x14ac:dyDescent="0.15">
      <c r="A120" s="1">
        <f t="shared" si="2"/>
        <v>119</v>
      </c>
      <c r="B120" s="1" t="s">
        <v>36</v>
      </c>
      <c r="C120" s="1" t="s">
        <v>11</v>
      </c>
      <c r="D120" s="25" t="s">
        <v>317</v>
      </c>
      <c r="E120" t="s">
        <v>318</v>
      </c>
      <c r="F120" t="s">
        <v>319</v>
      </c>
      <c r="G120" s="3" t="s">
        <v>15</v>
      </c>
      <c r="H120" s="27">
        <v>1</v>
      </c>
      <c r="I120" s="9">
        <f t="shared" ca="1" si="3"/>
        <v>0.42273453509358283</v>
      </c>
    </row>
    <row r="121" spans="1:9" ht="42" hidden="1" x14ac:dyDescent="0.15">
      <c r="A121" s="1">
        <f t="shared" si="2"/>
        <v>120</v>
      </c>
      <c r="B121" s="1" t="s">
        <v>36</v>
      </c>
      <c r="C121" s="1" t="s">
        <v>11</v>
      </c>
      <c r="D121" s="25" t="s">
        <v>320</v>
      </c>
      <c r="E121" t="s">
        <v>321</v>
      </c>
      <c r="F121" t="s">
        <v>322</v>
      </c>
      <c r="G121" s="3" t="s">
        <v>25</v>
      </c>
      <c r="H121" s="27">
        <v>1</v>
      </c>
      <c r="I121" s="9">
        <f t="shared" ca="1" si="3"/>
        <v>0.2052617095196595</v>
      </c>
    </row>
    <row r="122" spans="1:9" ht="56" hidden="1" x14ac:dyDescent="0.15">
      <c r="A122" s="1">
        <f t="shared" si="2"/>
        <v>121</v>
      </c>
      <c r="B122" s="1" t="s">
        <v>36</v>
      </c>
      <c r="C122" s="1" t="s">
        <v>11</v>
      </c>
      <c r="D122" s="25" t="s">
        <v>323</v>
      </c>
      <c r="E122" t="s">
        <v>324</v>
      </c>
      <c r="F122" t="s">
        <v>325</v>
      </c>
      <c r="G122" s="3" t="s">
        <v>25</v>
      </c>
      <c r="H122" s="27">
        <v>1</v>
      </c>
      <c r="I122" s="9">
        <f t="shared" ca="1" si="3"/>
        <v>0.19262688929544836</v>
      </c>
    </row>
    <row r="123" spans="1:9" ht="98" hidden="1" x14ac:dyDescent="0.15">
      <c r="A123" s="1">
        <f t="shared" si="2"/>
        <v>122</v>
      </c>
      <c r="B123" s="1" t="s">
        <v>36</v>
      </c>
      <c r="C123" s="1" t="s">
        <v>11</v>
      </c>
      <c r="D123" s="25" t="s">
        <v>326</v>
      </c>
      <c r="E123" t="s">
        <v>327</v>
      </c>
      <c r="F123" t="s">
        <v>328</v>
      </c>
      <c r="G123" s="3" t="s">
        <v>15</v>
      </c>
      <c r="H123" s="27">
        <v>1</v>
      </c>
      <c r="I123" s="9">
        <f t="shared" ca="1" si="3"/>
        <v>0.80899296800959275</v>
      </c>
    </row>
    <row r="124" spans="1:9" ht="42" hidden="1" x14ac:dyDescent="0.15">
      <c r="A124" s="1">
        <f t="shared" si="2"/>
        <v>123</v>
      </c>
      <c r="B124" s="1" t="s">
        <v>36</v>
      </c>
      <c r="C124" s="1" t="s">
        <v>11</v>
      </c>
      <c r="D124" s="25" t="s">
        <v>329</v>
      </c>
      <c r="E124" t="s">
        <v>330</v>
      </c>
      <c r="F124" t="s">
        <v>331</v>
      </c>
      <c r="G124" s="3" t="s">
        <v>25</v>
      </c>
      <c r="H124" s="27">
        <v>1</v>
      </c>
      <c r="I124" s="9">
        <f t="shared" ca="1" si="3"/>
        <v>0.14417849152104267</v>
      </c>
    </row>
    <row r="125" spans="1:9" ht="98" hidden="1" x14ac:dyDescent="0.15">
      <c r="A125" s="1">
        <f t="shared" si="2"/>
        <v>124</v>
      </c>
      <c r="B125" s="1" t="s">
        <v>36</v>
      </c>
      <c r="C125" s="1" t="s">
        <v>16</v>
      </c>
      <c r="D125" s="25" t="s">
        <v>332</v>
      </c>
      <c r="E125" t="s">
        <v>98</v>
      </c>
      <c r="F125" t="s">
        <v>333</v>
      </c>
      <c r="G125" s="3" t="s">
        <v>52</v>
      </c>
      <c r="H125" s="27">
        <v>0</v>
      </c>
      <c r="I125" s="9">
        <f t="shared" ca="1" si="3"/>
        <v>0.2849619476120675</v>
      </c>
    </row>
    <row r="126" spans="1:9" ht="140" hidden="1" x14ac:dyDescent="0.15">
      <c r="A126" s="1">
        <f t="shared" si="2"/>
        <v>125</v>
      </c>
      <c r="B126" s="1" t="s">
        <v>36</v>
      </c>
      <c r="C126" s="1" t="s">
        <v>16</v>
      </c>
      <c r="D126" s="25" t="s">
        <v>334</v>
      </c>
      <c r="E126" t="s">
        <v>106</v>
      </c>
      <c r="F126" t="s">
        <v>335</v>
      </c>
      <c r="G126" s="3" t="s">
        <v>25</v>
      </c>
      <c r="H126" s="27">
        <v>0</v>
      </c>
      <c r="I126" s="9">
        <f t="shared" ca="1" si="3"/>
        <v>0.17431641829987143</v>
      </c>
    </row>
    <row r="127" spans="1:9" ht="84" hidden="1" x14ac:dyDescent="0.15">
      <c r="A127" s="1">
        <f t="shared" si="2"/>
        <v>126</v>
      </c>
      <c r="B127" s="1" t="s">
        <v>36</v>
      </c>
      <c r="C127" s="1" t="s">
        <v>16</v>
      </c>
      <c r="D127" s="25" t="s">
        <v>336</v>
      </c>
      <c r="E127" t="s">
        <v>337</v>
      </c>
      <c r="F127" t="s">
        <v>338</v>
      </c>
      <c r="G127" s="3" t="s">
        <v>25</v>
      </c>
      <c r="H127" s="27">
        <v>0</v>
      </c>
      <c r="I127" s="9">
        <f t="shared" ca="1" si="3"/>
        <v>0.84801740757159283</v>
      </c>
    </row>
    <row r="128" spans="1:9" ht="42" x14ac:dyDescent="0.15">
      <c r="A128" s="1">
        <f t="shared" si="2"/>
        <v>127</v>
      </c>
      <c r="B128" s="1" t="s">
        <v>36</v>
      </c>
      <c r="C128" s="1" t="s">
        <v>27</v>
      </c>
      <c r="D128" s="25" t="s">
        <v>339</v>
      </c>
      <c r="E128" s="28" t="s">
        <v>340</v>
      </c>
      <c r="F128" t="s">
        <v>341</v>
      </c>
      <c r="G128" s="3" t="s">
        <v>25</v>
      </c>
      <c r="H128" s="27">
        <v>0</v>
      </c>
      <c r="I128" s="9">
        <f t="shared" ca="1" si="3"/>
        <v>0.92787655687828818</v>
      </c>
    </row>
    <row r="129" spans="1:9" ht="84" x14ac:dyDescent="0.15">
      <c r="A129" s="1">
        <f t="shared" si="2"/>
        <v>128</v>
      </c>
      <c r="B129" s="1" t="s">
        <v>36</v>
      </c>
      <c r="C129" s="1" t="s">
        <v>21</v>
      </c>
      <c r="D129" s="25" t="s">
        <v>3267</v>
      </c>
      <c r="E129" s="29" t="s">
        <v>127</v>
      </c>
      <c r="F129" t="s">
        <v>342</v>
      </c>
      <c r="G129" s="3" t="s">
        <v>52</v>
      </c>
      <c r="H129" s="27">
        <v>0</v>
      </c>
      <c r="I129" s="9">
        <f t="shared" ca="1" si="3"/>
        <v>0.75322353355424865</v>
      </c>
    </row>
    <row r="130" spans="1:9" ht="28" x14ac:dyDescent="0.15">
      <c r="A130" s="1">
        <f t="shared" si="2"/>
        <v>129</v>
      </c>
      <c r="B130" s="1" t="s">
        <v>36</v>
      </c>
      <c r="C130" s="1" t="s">
        <v>27</v>
      </c>
      <c r="D130" s="25" t="s">
        <v>343</v>
      </c>
      <c r="E130" s="28" t="s">
        <v>344</v>
      </c>
      <c r="F130" t="s">
        <v>345</v>
      </c>
      <c r="G130" s="3" t="s">
        <v>52</v>
      </c>
      <c r="H130" s="27">
        <v>0</v>
      </c>
      <c r="I130" s="9">
        <f t="shared" ca="1" si="3"/>
        <v>0.54926287146637387</v>
      </c>
    </row>
    <row r="131" spans="1:9" ht="42" x14ac:dyDescent="0.15">
      <c r="A131" s="1">
        <f t="shared" ref="A131:A194" si="4">ROW() - 1</f>
        <v>130</v>
      </c>
      <c r="B131" s="1" t="s">
        <v>36</v>
      </c>
      <c r="C131" s="1" t="s">
        <v>27</v>
      </c>
      <c r="D131" s="25" t="s">
        <v>346</v>
      </c>
      <c r="E131" s="28" t="s">
        <v>347</v>
      </c>
      <c r="F131" t="s">
        <v>348</v>
      </c>
      <c r="G131" s="3" t="s">
        <v>52</v>
      </c>
      <c r="H131" s="27">
        <v>0</v>
      </c>
      <c r="I131" s="9">
        <f t="shared" ca="1" si="3"/>
        <v>0.11284536518141608</v>
      </c>
    </row>
    <row r="132" spans="1:9" ht="28" x14ac:dyDescent="0.15">
      <c r="A132" s="1">
        <f t="shared" si="4"/>
        <v>131</v>
      </c>
      <c r="B132" s="1" t="s">
        <v>36</v>
      </c>
      <c r="C132" s="1" t="s">
        <v>27</v>
      </c>
      <c r="D132" s="25" t="s">
        <v>349</v>
      </c>
      <c r="E132" s="29" t="s">
        <v>350</v>
      </c>
      <c r="F132" t="s">
        <v>351</v>
      </c>
      <c r="G132" s="3" t="s">
        <v>52</v>
      </c>
      <c r="H132" s="27">
        <v>0</v>
      </c>
      <c r="I132" s="9">
        <f t="shared" ref="I132:I195" ca="1" si="5">RAND()</f>
        <v>0.81763285478072179</v>
      </c>
    </row>
    <row r="133" spans="1:9" ht="112" hidden="1" x14ac:dyDescent="0.15">
      <c r="A133" s="1">
        <f t="shared" si="4"/>
        <v>132</v>
      </c>
      <c r="B133" s="1" t="s">
        <v>36</v>
      </c>
      <c r="C133" s="1" t="s">
        <v>16</v>
      </c>
      <c r="D133" s="25" t="s">
        <v>352</v>
      </c>
      <c r="E133" t="s">
        <v>127</v>
      </c>
      <c r="F133" t="s">
        <v>353</v>
      </c>
      <c r="G133" s="3" t="s">
        <v>52</v>
      </c>
      <c r="H133" s="27">
        <v>0</v>
      </c>
      <c r="I133" s="9">
        <f t="shared" ca="1" si="5"/>
        <v>0.45653939413593958</v>
      </c>
    </row>
    <row r="134" spans="1:9" ht="28" x14ac:dyDescent="0.15">
      <c r="A134" s="1">
        <f t="shared" si="4"/>
        <v>133</v>
      </c>
      <c r="B134" s="1" t="s">
        <v>36</v>
      </c>
      <c r="C134" s="1" t="s">
        <v>27</v>
      </c>
      <c r="D134" s="25" t="s">
        <v>354</v>
      </c>
      <c r="E134" s="28" t="s">
        <v>355</v>
      </c>
      <c r="F134" t="s">
        <v>356</v>
      </c>
      <c r="G134" s="3" t="s">
        <v>52</v>
      </c>
      <c r="H134" s="27">
        <v>0</v>
      </c>
      <c r="I134" s="9">
        <f t="shared" ca="1" si="5"/>
        <v>0.55974232549390801</v>
      </c>
    </row>
    <row r="135" spans="1:9" ht="28" x14ac:dyDescent="0.15">
      <c r="A135" s="1">
        <f t="shared" si="4"/>
        <v>134</v>
      </c>
      <c r="B135" s="1" t="s">
        <v>36</v>
      </c>
      <c r="C135" s="1" t="s">
        <v>27</v>
      </c>
      <c r="D135" s="25" t="s">
        <v>357</v>
      </c>
      <c r="E135" s="28" t="s">
        <v>358</v>
      </c>
      <c r="F135" t="s">
        <v>359</v>
      </c>
      <c r="G135" s="3" t="s">
        <v>52</v>
      </c>
      <c r="H135" s="27">
        <v>0</v>
      </c>
      <c r="I135" s="9">
        <f t="shared" ca="1" si="5"/>
        <v>0.60677732775305115</v>
      </c>
    </row>
    <row r="136" spans="1:9" ht="126" x14ac:dyDescent="0.15">
      <c r="A136" s="1">
        <f t="shared" si="4"/>
        <v>135</v>
      </c>
      <c r="B136" s="1" t="s">
        <v>36</v>
      </c>
      <c r="C136" s="1" t="s">
        <v>21</v>
      </c>
      <c r="D136" s="25" t="s">
        <v>3268</v>
      </c>
      <c r="E136" s="29" t="s">
        <v>360</v>
      </c>
      <c r="F136" t="s">
        <v>361</v>
      </c>
      <c r="G136" s="3" t="s">
        <v>25</v>
      </c>
      <c r="H136" s="27">
        <v>0</v>
      </c>
      <c r="I136" s="9">
        <f t="shared" ca="1" si="5"/>
        <v>0.63658071040859643</v>
      </c>
    </row>
    <row r="137" spans="1:9" ht="98" hidden="1" x14ac:dyDescent="0.15">
      <c r="A137" s="1">
        <f t="shared" si="4"/>
        <v>136</v>
      </c>
      <c r="B137" s="1" t="s">
        <v>36</v>
      </c>
      <c r="C137" s="1" t="s">
        <v>16</v>
      </c>
      <c r="D137" s="25" t="s">
        <v>362</v>
      </c>
      <c r="E137" t="s">
        <v>127</v>
      </c>
      <c r="F137" t="s">
        <v>363</v>
      </c>
      <c r="G137" s="3" t="s">
        <v>25</v>
      </c>
      <c r="H137" s="27">
        <v>0</v>
      </c>
      <c r="I137" s="9">
        <f t="shared" ca="1" si="5"/>
        <v>8.3412410941168691E-2</v>
      </c>
    </row>
    <row r="138" spans="1:9" ht="14" hidden="1" x14ac:dyDescent="0.15">
      <c r="A138" s="1">
        <f t="shared" si="4"/>
        <v>137</v>
      </c>
      <c r="B138" s="1" t="s">
        <v>36</v>
      </c>
      <c r="C138" s="1" t="s">
        <v>11</v>
      </c>
      <c r="D138" s="25" t="s">
        <v>364</v>
      </c>
      <c r="E138" t="s">
        <v>365</v>
      </c>
      <c r="F138" t="s">
        <v>366</v>
      </c>
      <c r="G138" s="3" t="s">
        <v>25</v>
      </c>
      <c r="H138" s="27">
        <v>0</v>
      </c>
      <c r="I138" s="9">
        <f t="shared" ca="1" si="5"/>
        <v>0.88620292869204476</v>
      </c>
    </row>
    <row r="139" spans="1:9" ht="14" hidden="1" x14ac:dyDescent="0.15">
      <c r="A139" s="1">
        <f t="shared" si="4"/>
        <v>138</v>
      </c>
      <c r="B139" s="1" t="s">
        <v>36</v>
      </c>
      <c r="C139" s="1" t="s">
        <v>11</v>
      </c>
      <c r="D139" s="25" t="s">
        <v>367</v>
      </c>
      <c r="E139" t="s">
        <v>368</v>
      </c>
      <c r="F139" t="s">
        <v>369</v>
      </c>
      <c r="G139" s="3" t="s">
        <v>52</v>
      </c>
      <c r="H139" s="27">
        <v>0</v>
      </c>
      <c r="I139" s="9">
        <f t="shared" ca="1" si="5"/>
        <v>0.79753191314380734</v>
      </c>
    </row>
    <row r="140" spans="1:9" ht="28" hidden="1" x14ac:dyDescent="0.15">
      <c r="A140" s="1">
        <f t="shared" si="4"/>
        <v>139</v>
      </c>
      <c r="B140" s="1" t="s">
        <v>36</v>
      </c>
      <c r="C140" s="1" t="s">
        <v>11</v>
      </c>
      <c r="D140" s="25" t="s">
        <v>370</v>
      </c>
      <c r="E140" t="s">
        <v>371</v>
      </c>
      <c r="F140" t="s">
        <v>372</v>
      </c>
      <c r="G140" s="1" t="s">
        <v>25</v>
      </c>
      <c r="H140" s="27">
        <v>0</v>
      </c>
      <c r="I140" s="9">
        <f t="shared" ca="1" si="5"/>
        <v>0.2151345648842532</v>
      </c>
    </row>
    <row r="141" spans="1:9" ht="28" hidden="1" x14ac:dyDescent="0.15">
      <c r="A141" s="1">
        <f t="shared" si="4"/>
        <v>140</v>
      </c>
      <c r="B141" s="1" t="s">
        <v>36</v>
      </c>
      <c r="C141" s="1" t="s">
        <v>11</v>
      </c>
      <c r="D141" s="25" t="s">
        <v>373</v>
      </c>
      <c r="E141" t="s">
        <v>374</v>
      </c>
      <c r="F141" t="s">
        <v>375</v>
      </c>
      <c r="G141" s="1" t="s">
        <v>25</v>
      </c>
      <c r="H141" s="27">
        <v>0</v>
      </c>
      <c r="I141" s="9">
        <f t="shared" ca="1" si="5"/>
        <v>0.22165964660230275</v>
      </c>
    </row>
    <row r="142" spans="1:9" ht="28" hidden="1" x14ac:dyDescent="0.15">
      <c r="A142" s="1">
        <f t="shared" si="4"/>
        <v>141</v>
      </c>
      <c r="B142" s="1" t="s">
        <v>36</v>
      </c>
      <c r="C142" s="1" t="s">
        <v>11</v>
      </c>
      <c r="D142" s="25" t="s">
        <v>376</v>
      </c>
      <c r="E142" t="s">
        <v>377</v>
      </c>
      <c r="F142" t="s">
        <v>378</v>
      </c>
      <c r="G142" s="1" t="s">
        <v>25</v>
      </c>
      <c r="H142" s="27">
        <v>0</v>
      </c>
      <c r="I142" s="9">
        <f t="shared" ca="1" si="5"/>
        <v>8.3035577082774537E-2</v>
      </c>
    </row>
    <row r="143" spans="1:9" ht="28" hidden="1" x14ac:dyDescent="0.15">
      <c r="A143" s="1">
        <f t="shared" si="4"/>
        <v>142</v>
      </c>
      <c r="B143" s="1" t="s">
        <v>36</v>
      </c>
      <c r="C143" s="1" t="s">
        <v>11</v>
      </c>
      <c r="D143" s="25" t="s">
        <v>379</v>
      </c>
      <c r="E143" t="s">
        <v>380</v>
      </c>
      <c r="F143" t="s">
        <v>381</v>
      </c>
      <c r="G143" s="1" t="s">
        <v>25</v>
      </c>
      <c r="H143" s="27">
        <v>0</v>
      </c>
      <c r="I143" s="9">
        <f t="shared" ca="1" si="5"/>
        <v>0.29163349590382504</v>
      </c>
    </row>
    <row r="144" spans="1:9" ht="42" hidden="1" x14ac:dyDescent="0.15">
      <c r="A144" s="1">
        <f t="shared" si="4"/>
        <v>143</v>
      </c>
      <c r="B144" s="1" t="s">
        <v>36</v>
      </c>
      <c r="C144" s="1" t="s">
        <v>11</v>
      </c>
      <c r="D144" s="25" t="s">
        <v>382</v>
      </c>
      <c r="E144" t="s">
        <v>383</v>
      </c>
      <c r="F144" t="s">
        <v>384</v>
      </c>
      <c r="G144" s="1" t="s">
        <v>25</v>
      </c>
      <c r="H144" s="27">
        <v>0</v>
      </c>
      <c r="I144" s="9">
        <f t="shared" ca="1" si="5"/>
        <v>0.27427162696757978</v>
      </c>
    </row>
    <row r="145" spans="1:9" ht="28" hidden="1" x14ac:dyDescent="0.15">
      <c r="A145" s="1">
        <f t="shared" si="4"/>
        <v>144</v>
      </c>
      <c r="B145" s="1" t="s">
        <v>36</v>
      </c>
      <c r="C145" s="1" t="s">
        <v>11</v>
      </c>
      <c r="D145" s="25" t="s">
        <v>385</v>
      </c>
      <c r="E145" t="s">
        <v>386</v>
      </c>
      <c r="F145" t="s">
        <v>387</v>
      </c>
      <c r="G145" s="1" t="s">
        <v>25</v>
      </c>
      <c r="H145" s="27">
        <v>0</v>
      </c>
      <c r="I145" s="9">
        <f t="shared" ca="1" si="5"/>
        <v>0.36424732508130953</v>
      </c>
    </row>
    <row r="146" spans="1:9" ht="56" hidden="1" x14ac:dyDescent="0.15">
      <c r="A146" s="1">
        <f t="shared" si="4"/>
        <v>145</v>
      </c>
      <c r="B146" s="1" t="s">
        <v>36</v>
      </c>
      <c r="C146" s="1" t="s">
        <v>11</v>
      </c>
      <c r="D146" s="25" t="s">
        <v>388</v>
      </c>
      <c r="E146" t="s">
        <v>389</v>
      </c>
      <c r="F146" t="s">
        <v>390</v>
      </c>
      <c r="G146" s="1" t="s">
        <v>15</v>
      </c>
      <c r="H146" s="27">
        <v>0</v>
      </c>
      <c r="I146" s="9">
        <f t="shared" ca="1" si="5"/>
        <v>0.52847830174685639</v>
      </c>
    </row>
    <row r="147" spans="1:9" ht="56" hidden="1" x14ac:dyDescent="0.15">
      <c r="A147" s="1">
        <f t="shared" si="4"/>
        <v>146</v>
      </c>
      <c r="B147" s="1" t="s">
        <v>36</v>
      </c>
      <c r="C147" s="1" t="s">
        <v>11</v>
      </c>
      <c r="D147" s="25" t="s">
        <v>391</v>
      </c>
      <c r="E147" t="s">
        <v>392</v>
      </c>
      <c r="F147" t="s">
        <v>393</v>
      </c>
      <c r="G147" s="1" t="s">
        <v>25</v>
      </c>
      <c r="H147" s="27">
        <v>0</v>
      </c>
      <c r="I147" s="9">
        <f t="shared" ca="1" si="5"/>
        <v>0.60940548006285722</v>
      </c>
    </row>
    <row r="148" spans="1:9" ht="28" hidden="1" x14ac:dyDescent="0.15">
      <c r="A148" s="1">
        <f t="shared" si="4"/>
        <v>147</v>
      </c>
      <c r="B148" s="1" t="s">
        <v>36</v>
      </c>
      <c r="C148" s="1" t="s">
        <v>11</v>
      </c>
      <c r="D148" s="25" t="s">
        <v>394</v>
      </c>
      <c r="E148" t="s">
        <v>395</v>
      </c>
      <c r="F148" t="s">
        <v>396</v>
      </c>
      <c r="G148" s="1" t="s">
        <v>25</v>
      </c>
      <c r="H148" s="27">
        <v>0</v>
      </c>
      <c r="I148" s="9">
        <f t="shared" ca="1" si="5"/>
        <v>0.3630380930539695</v>
      </c>
    </row>
    <row r="149" spans="1:9" ht="71" hidden="1" x14ac:dyDescent="0.2">
      <c r="A149" s="1">
        <f t="shared" si="4"/>
        <v>148</v>
      </c>
      <c r="B149" s="1" t="s">
        <v>36</v>
      </c>
      <c r="C149" s="2" t="s">
        <v>16</v>
      </c>
      <c r="D149" s="25" t="s">
        <v>397</v>
      </c>
      <c r="E149" t="s">
        <v>98</v>
      </c>
      <c r="F149" t="s">
        <v>398</v>
      </c>
      <c r="G149" s="3" t="s">
        <v>25</v>
      </c>
      <c r="H149" s="27">
        <v>0</v>
      </c>
      <c r="I149" s="9">
        <f t="shared" ca="1" si="5"/>
        <v>0.65449132250203734</v>
      </c>
    </row>
    <row r="150" spans="1:9" ht="28" hidden="1" x14ac:dyDescent="0.15">
      <c r="A150" s="1">
        <f t="shared" si="4"/>
        <v>149</v>
      </c>
      <c r="B150" s="1" t="s">
        <v>36</v>
      </c>
      <c r="C150" s="1" t="s">
        <v>11</v>
      </c>
      <c r="D150" s="25" t="s">
        <v>399</v>
      </c>
      <c r="E150" t="s">
        <v>400</v>
      </c>
      <c r="F150" t="s">
        <v>401</v>
      </c>
      <c r="G150" s="3" t="s">
        <v>25</v>
      </c>
      <c r="H150" s="27">
        <v>0</v>
      </c>
      <c r="I150" s="9">
        <f t="shared" ca="1" si="5"/>
        <v>0.70903013131413328</v>
      </c>
    </row>
    <row r="151" spans="1:9" ht="14" hidden="1" x14ac:dyDescent="0.15">
      <c r="A151" s="1">
        <f t="shared" si="4"/>
        <v>150</v>
      </c>
      <c r="B151" s="1" t="s">
        <v>36</v>
      </c>
      <c r="C151" s="1" t="s">
        <v>11</v>
      </c>
      <c r="D151" s="25" t="s">
        <v>402</v>
      </c>
      <c r="E151" t="s">
        <v>403</v>
      </c>
      <c r="F151" t="s">
        <v>404</v>
      </c>
      <c r="G151" s="1" t="s">
        <v>52</v>
      </c>
      <c r="H151" s="27">
        <v>0</v>
      </c>
      <c r="I151" s="9">
        <f t="shared" ca="1" si="5"/>
        <v>0.20172977607834874</v>
      </c>
    </row>
    <row r="152" spans="1:9" ht="15.75" hidden="1" customHeight="1" x14ac:dyDescent="0.2">
      <c r="A152" s="1">
        <f t="shared" si="4"/>
        <v>151</v>
      </c>
      <c r="B152" s="1" t="s">
        <v>36</v>
      </c>
      <c r="C152" s="2" t="s">
        <v>11</v>
      </c>
      <c r="D152" s="25" t="s">
        <v>405</v>
      </c>
      <c r="E152" t="s">
        <v>406</v>
      </c>
      <c r="F152" t="s">
        <v>407</v>
      </c>
      <c r="G152" s="1" t="s">
        <v>25</v>
      </c>
      <c r="H152" s="27">
        <v>0</v>
      </c>
      <c r="I152" s="9">
        <f t="shared" ca="1" si="5"/>
        <v>0.48865828319621307</v>
      </c>
    </row>
    <row r="153" spans="1:9" ht="43" hidden="1" x14ac:dyDescent="0.2">
      <c r="A153" s="1">
        <f t="shared" si="4"/>
        <v>152</v>
      </c>
      <c r="B153" s="1" t="s">
        <v>36</v>
      </c>
      <c r="C153" s="2" t="s">
        <v>11</v>
      </c>
      <c r="D153" s="25" t="s">
        <v>408</v>
      </c>
      <c r="E153" t="s">
        <v>409</v>
      </c>
      <c r="F153" t="s">
        <v>410</v>
      </c>
      <c r="G153" s="1" t="s">
        <v>25</v>
      </c>
      <c r="H153" s="27">
        <v>0</v>
      </c>
      <c r="I153" s="9">
        <f t="shared" ca="1" si="5"/>
        <v>0.52849141091369678</v>
      </c>
    </row>
    <row r="154" spans="1:9" ht="43" hidden="1" x14ac:dyDescent="0.2">
      <c r="A154" s="1">
        <f t="shared" si="4"/>
        <v>153</v>
      </c>
      <c r="B154" s="1" t="s">
        <v>36</v>
      </c>
      <c r="C154" s="2" t="s">
        <v>11</v>
      </c>
      <c r="D154" s="25" t="s">
        <v>411</v>
      </c>
      <c r="E154" t="s">
        <v>412</v>
      </c>
      <c r="F154" t="s">
        <v>413</v>
      </c>
      <c r="G154" s="1" t="s">
        <v>25</v>
      </c>
      <c r="H154" s="27">
        <v>0</v>
      </c>
      <c r="I154" s="9">
        <f t="shared" ca="1" si="5"/>
        <v>0.62829673157459154</v>
      </c>
    </row>
    <row r="155" spans="1:9" ht="15.75" hidden="1" customHeight="1" x14ac:dyDescent="0.2">
      <c r="A155" s="1">
        <f t="shared" si="4"/>
        <v>154</v>
      </c>
      <c r="B155" s="1" t="s">
        <v>36</v>
      </c>
      <c r="C155" s="2" t="s">
        <v>16</v>
      </c>
      <c r="D155" s="25" t="s">
        <v>414</v>
      </c>
      <c r="E155" t="s">
        <v>159</v>
      </c>
      <c r="F155" t="s">
        <v>415</v>
      </c>
      <c r="G155" s="3" t="s">
        <v>25</v>
      </c>
      <c r="H155" s="27">
        <v>0</v>
      </c>
      <c r="I155" s="9">
        <f t="shared" ca="1" si="5"/>
        <v>0.15290077010175207</v>
      </c>
    </row>
    <row r="156" spans="1:9" ht="15.75" hidden="1" customHeight="1" x14ac:dyDescent="0.2">
      <c r="A156" s="1">
        <f t="shared" si="4"/>
        <v>155</v>
      </c>
      <c r="B156" s="1" t="s">
        <v>36</v>
      </c>
      <c r="C156" s="2" t="s">
        <v>11</v>
      </c>
      <c r="D156" s="25" t="s">
        <v>416</v>
      </c>
      <c r="E156" t="s">
        <v>417</v>
      </c>
      <c r="F156" t="s">
        <v>418</v>
      </c>
      <c r="G156" s="3" t="s">
        <v>25</v>
      </c>
      <c r="H156" s="27">
        <v>0</v>
      </c>
      <c r="I156" s="9">
        <f t="shared" ca="1" si="5"/>
        <v>0.92760317383109248</v>
      </c>
    </row>
    <row r="157" spans="1:9" ht="15.75" hidden="1" customHeight="1" x14ac:dyDescent="0.2">
      <c r="A157" s="1">
        <f t="shared" si="4"/>
        <v>156</v>
      </c>
      <c r="B157" s="1" t="s">
        <v>36</v>
      </c>
      <c r="C157" s="2" t="s">
        <v>11</v>
      </c>
      <c r="D157" s="25" t="s">
        <v>419</v>
      </c>
      <c r="E157" t="s">
        <v>420</v>
      </c>
      <c r="F157" t="s">
        <v>421</v>
      </c>
      <c r="G157" s="3" t="s">
        <v>25</v>
      </c>
      <c r="H157" s="27">
        <v>0</v>
      </c>
      <c r="I157" s="9">
        <f t="shared" ca="1" si="5"/>
        <v>0.49497215632768021</v>
      </c>
    </row>
    <row r="158" spans="1:9" ht="15.75" hidden="1" customHeight="1" x14ac:dyDescent="0.2">
      <c r="A158" s="1">
        <f t="shared" si="4"/>
        <v>157</v>
      </c>
      <c r="B158" s="1" t="s">
        <v>36</v>
      </c>
      <c r="C158" s="2" t="s">
        <v>16</v>
      </c>
      <c r="D158" s="25" t="s">
        <v>422</v>
      </c>
      <c r="E158" t="s">
        <v>127</v>
      </c>
      <c r="F158" t="s">
        <v>423</v>
      </c>
      <c r="G158" s="3" t="s">
        <v>25</v>
      </c>
      <c r="H158" s="27">
        <v>0</v>
      </c>
      <c r="I158" s="9">
        <f t="shared" ca="1" si="5"/>
        <v>0.17926067777036558</v>
      </c>
    </row>
    <row r="159" spans="1:9" ht="15.75" hidden="1" customHeight="1" x14ac:dyDescent="0.2">
      <c r="A159" s="1">
        <f t="shared" si="4"/>
        <v>158</v>
      </c>
      <c r="B159" s="1" t="s">
        <v>36</v>
      </c>
      <c r="C159" s="2" t="s">
        <v>16</v>
      </c>
      <c r="D159" s="25" t="s">
        <v>424</v>
      </c>
      <c r="E159" t="s">
        <v>98</v>
      </c>
      <c r="F159" t="s">
        <v>425</v>
      </c>
      <c r="G159" s="3" t="s">
        <v>25</v>
      </c>
      <c r="H159" s="27">
        <v>0</v>
      </c>
      <c r="I159" s="9">
        <f t="shared" ca="1" si="5"/>
        <v>0.88369999981706737</v>
      </c>
    </row>
    <row r="160" spans="1:9" ht="15.75" hidden="1" customHeight="1" x14ac:dyDescent="0.2">
      <c r="A160" s="1">
        <f t="shared" si="4"/>
        <v>159</v>
      </c>
      <c r="B160" s="1" t="s">
        <v>36</v>
      </c>
      <c r="C160" s="2" t="s">
        <v>16</v>
      </c>
      <c r="D160" s="25" t="s">
        <v>426</v>
      </c>
      <c r="E160" t="s">
        <v>159</v>
      </c>
      <c r="F160" t="s">
        <v>427</v>
      </c>
      <c r="G160" s="1" t="s">
        <v>25</v>
      </c>
      <c r="H160" s="27">
        <v>0</v>
      </c>
      <c r="I160" s="9">
        <f t="shared" ca="1" si="5"/>
        <v>0.90042872111167604</v>
      </c>
    </row>
    <row r="161" spans="1:9" ht="15.75" hidden="1" customHeight="1" x14ac:dyDescent="0.2">
      <c r="A161" s="1">
        <f t="shared" si="4"/>
        <v>160</v>
      </c>
      <c r="B161" s="1" t="s">
        <v>36</v>
      </c>
      <c r="C161" s="2" t="s">
        <v>16</v>
      </c>
      <c r="D161" s="25" t="s">
        <v>428</v>
      </c>
      <c r="E161" t="s">
        <v>98</v>
      </c>
      <c r="F161" t="s">
        <v>429</v>
      </c>
      <c r="G161" s="3" t="s">
        <v>25</v>
      </c>
      <c r="H161" s="27">
        <v>0</v>
      </c>
      <c r="I161" s="9">
        <f t="shared" ca="1" si="5"/>
        <v>0.51766486998995531</v>
      </c>
    </row>
    <row r="162" spans="1:9" ht="15.75" hidden="1" customHeight="1" x14ac:dyDescent="0.2">
      <c r="A162" s="1">
        <f t="shared" si="4"/>
        <v>161</v>
      </c>
      <c r="B162" s="1" t="s">
        <v>36</v>
      </c>
      <c r="C162" s="2" t="s">
        <v>11</v>
      </c>
      <c r="D162" s="25" t="s">
        <v>430</v>
      </c>
      <c r="E162" t="s">
        <v>431</v>
      </c>
      <c r="F162" t="s">
        <v>432</v>
      </c>
      <c r="G162" s="1" t="s">
        <v>25</v>
      </c>
      <c r="H162" s="27">
        <v>0</v>
      </c>
      <c r="I162" s="9">
        <f t="shared" ca="1" si="5"/>
        <v>0.57351128085128733</v>
      </c>
    </row>
    <row r="163" spans="1:9" ht="15.75" hidden="1" customHeight="1" x14ac:dyDescent="0.2">
      <c r="A163" s="1">
        <f t="shared" si="4"/>
        <v>162</v>
      </c>
      <c r="B163" s="1" t="s">
        <v>36</v>
      </c>
      <c r="C163" s="2" t="s">
        <v>11</v>
      </c>
      <c r="D163" s="25" t="s">
        <v>433</v>
      </c>
      <c r="E163" t="s">
        <v>434</v>
      </c>
      <c r="F163" t="s">
        <v>435</v>
      </c>
      <c r="G163" s="1" t="s">
        <v>25</v>
      </c>
      <c r="H163" s="27">
        <v>0</v>
      </c>
      <c r="I163" s="9">
        <f t="shared" ca="1" si="5"/>
        <v>0.75785482575726548</v>
      </c>
    </row>
    <row r="164" spans="1:9" ht="15.75" hidden="1" customHeight="1" x14ac:dyDescent="0.15">
      <c r="A164" s="1">
        <f t="shared" si="4"/>
        <v>163</v>
      </c>
      <c r="B164" s="1" t="s">
        <v>36</v>
      </c>
      <c r="C164" s="1" t="s">
        <v>16</v>
      </c>
      <c r="D164" s="25" t="s">
        <v>436</v>
      </c>
      <c r="E164" t="s">
        <v>98</v>
      </c>
      <c r="F164" t="s">
        <v>437</v>
      </c>
      <c r="G164" s="3" t="s">
        <v>25</v>
      </c>
      <c r="H164" s="27">
        <v>0</v>
      </c>
      <c r="I164" s="9">
        <f t="shared" ca="1" si="5"/>
        <v>0.48005521265587814</v>
      </c>
    </row>
    <row r="165" spans="1:9" ht="15.75" hidden="1" customHeight="1" x14ac:dyDescent="0.15">
      <c r="A165" s="1">
        <f t="shared" si="4"/>
        <v>164</v>
      </c>
      <c r="B165" s="1" t="s">
        <v>36</v>
      </c>
      <c r="C165" s="1" t="s">
        <v>16</v>
      </c>
      <c r="D165" s="25" t="s">
        <v>438</v>
      </c>
      <c r="E165" t="s">
        <v>127</v>
      </c>
      <c r="F165" t="s">
        <v>439</v>
      </c>
      <c r="G165" s="1" t="s">
        <v>52</v>
      </c>
      <c r="H165" s="27">
        <v>0</v>
      </c>
      <c r="I165" s="9">
        <f t="shared" ca="1" si="5"/>
        <v>7.6594129628576368E-2</v>
      </c>
    </row>
    <row r="166" spans="1:9" ht="15.75" hidden="1" customHeight="1" x14ac:dyDescent="0.15">
      <c r="A166" s="1">
        <f t="shared" si="4"/>
        <v>165</v>
      </c>
      <c r="B166" s="1" t="s">
        <v>36</v>
      </c>
      <c r="C166" s="1" t="s">
        <v>16</v>
      </c>
      <c r="D166" s="25" t="s">
        <v>440</v>
      </c>
      <c r="E166" t="s">
        <v>159</v>
      </c>
      <c r="F166" t="s">
        <v>441</v>
      </c>
      <c r="G166" s="1" t="s">
        <v>52</v>
      </c>
      <c r="H166" s="27">
        <v>0</v>
      </c>
      <c r="I166" s="9">
        <f t="shared" ca="1" si="5"/>
        <v>9.6847985764057065E-2</v>
      </c>
    </row>
    <row r="167" spans="1:9" ht="98" hidden="1" x14ac:dyDescent="0.15">
      <c r="A167" s="1">
        <f t="shared" si="4"/>
        <v>166</v>
      </c>
      <c r="B167" s="1" t="s">
        <v>36</v>
      </c>
      <c r="C167" s="1" t="s">
        <v>16</v>
      </c>
      <c r="D167" s="25" t="s">
        <v>442</v>
      </c>
      <c r="E167" t="s">
        <v>127</v>
      </c>
      <c r="F167" t="s">
        <v>443</v>
      </c>
      <c r="G167" s="1" t="s">
        <v>52</v>
      </c>
      <c r="H167" s="27">
        <v>0</v>
      </c>
      <c r="I167" s="9">
        <f t="shared" ca="1" si="5"/>
        <v>7.3688374119170286E-2</v>
      </c>
    </row>
    <row r="168" spans="1:9" ht="126" hidden="1" x14ac:dyDescent="0.15">
      <c r="A168" s="1">
        <f t="shared" si="4"/>
        <v>167</v>
      </c>
      <c r="B168" s="1" t="s">
        <v>36</v>
      </c>
      <c r="C168" s="1" t="s">
        <v>16</v>
      </c>
      <c r="D168" s="25" t="s">
        <v>444</v>
      </c>
      <c r="E168" t="s">
        <v>98</v>
      </c>
      <c r="F168" t="s">
        <v>445</v>
      </c>
      <c r="G168" s="3" t="s">
        <v>25</v>
      </c>
      <c r="H168" s="27">
        <v>1</v>
      </c>
      <c r="I168" s="9">
        <f t="shared" ca="1" si="5"/>
        <v>4.9542562954755787E-2</v>
      </c>
    </row>
    <row r="169" spans="1:9" ht="14" x14ac:dyDescent="0.15">
      <c r="A169" s="1">
        <f t="shared" si="4"/>
        <v>168</v>
      </c>
      <c r="B169" s="1" t="s">
        <v>20</v>
      </c>
      <c r="C169" s="1" t="s">
        <v>32</v>
      </c>
      <c r="D169" s="25" t="s">
        <v>446</v>
      </c>
      <c r="E169" s="28" t="s">
        <v>286</v>
      </c>
      <c r="F169" t="s">
        <v>447</v>
      </c>
      <c r="G169" s="3" t="s">
        <v>52</v>
      </c>
      <c r="H169" s="27">
        <v>0</v>
      </c>
      <c r="I169" s="9">
        <f t="shared" ca="1" si="5"/>
        <v>0.49858407312377284</v>
      </c>
    </row>
    <row r="170" spans="1:9" ht="28" x14ac:dyDescent="0.15">
      <c r="A170" s="1">
        <f t="shared" si="4"/>
        <v>169</v>
      </c>
      <c r="B170" s="1" t="s">
        <v>20</v>
      </c>
      <c r="C170" s="1" t="s">
        <v>32</v>
      </c>
      <c r="D170" s="25" t="s">
        <v>448</v>
      </c>
      <c r="E170" s="28" t="s">
        <v>174</v>
      </c>
      <c r="F170" t="s">
        <v>449</v>
      </c>
      <c r="G170" s="3" t="s">
        <v>52</v>
      </c>
      <c r="H170" s="27">
        <v>0</v>
      </c>
      <c r="I170" s="9">
        <f t="shared" ca="1" si="5"/>
        <v>0.69521386607699565</v>
      </c>
    </row>
    <row r="171" spans="1:9" ht="28" x14ac:dyDescent="0.15">
      <c r="A171" s="1">
        <f t="shared" si="4"/>
        <v>170</v>
      </c>
      <c r="B171" s="1" t="s">
        <v>20</v>
      </c>
      <c r="C171" s="1" t="s">
        <v>32</v>
      </c>
      <c r="D171" s="25" t="s">
        <v>450</v>
      </c>
      <c r="E171" s="28" t="s">
        <v>174</v>
      </c>
      <c r="F171" t="s">
        <v>451</v>
      </c>
      <c r="G171" s="3" t="s">
        <v>52</v>
      </c>
      <c r="H171" s="27">
        <v>0</v>
      </c>
      <c r="I171" s="9">
        <f t="shared" ca="1" si="5"/>
        <v>7.3997621858102769E-2</v>
      </c>
    </row>
    <row r="172" spans="1:9" ht="42" x14ac:dyDescent="0.15">
      <c r="A172" s="1">
        <f t="shared" si="4"/>
        <v>171</v>
      </c>
      <c r="B172" s="1" t="s">
        <v>20</v>
      </c>
      <c r="C172" s="1" t="s">
        <v>32</v>
      </c>
      <c r="D172" s="25" t="s">
        <v>3257</v>
      </c>
      <c r="E172" s="28" t="s">
        <v>286</v>
      </c>
      <c r="F172" t="s">
        <v>452</v>
      </c>
      <c r="G172" s="3" t="s">
        <v>25</v>
      </c>
      <c r="H172" s="27">
        <v>0</v>
      </c>
      <c r="I172" s="9">
        <f t="shared" ca="1" si="5"/>
        <v>0.14932515664018342</v>
      </c>
    </row>
    <row r="173" spans="1:9" ht="42" x14ac:dyDescent="0.15">
      <c r="A173" s="1">
        <f t="shared" si="4"/>
        <v>172</v>
      </c>
      <c r="B173" s="1" t="s">
        <v>20</v>
      </c>
      <c r="C173" s="1" t="s">
        <v>32</v>
      </c>
      <c r="D173" s="25" t="s">
        <v>453</v>
      </c>
      <c r="E173" s="28" t="s">
        <v>174</v>
      </c>
      <c r="F173" t="s">
        <v>454</v>
      </c>
      <c r="G173" s="3" t="s">
        <v>25</v>
      </c>
      <c r="H173" s="27">
        <v>0</v>
      </c>
      <c r="I173" s="9">
        <f t="shared" ca="1" si="5"/>
        <v>0.83039445529470246</v>
      </c>
    </row>
    <row r="174" spans="1:9" ht="112" x14ac:dyDescent="0.15">
      <c r="A174" s="1">
        <f t="shared" si="4"/>
        <v>173</v>
      </c>
      <c r="B174" s="1" t="s">
        <v>20</v>
      </c>
      <c r="C174" s="1" t="s">
        <v>32</v>
      </c>
      <c r="D174" s="25" t="s">
        <v>455</v>
      </c>
      <c r="E174" s="28" t="s">
        <v>174</v>
      </c>
      <c r="F174" t="s">
        <v>456</v>
      </c>
      <c r="G174" s="3" t="s">
        <v>25</v>
      </c>
      <c r="H174" s="27">
        <v>1</v>
      </c>
      <c r="I174" s="9">
        <f t="shared" ca="1" si="5"/>
        <v>3.7092550150259918E-2</v>
      </c>
    </row>
    <row r="175" spans="1:9" ht="42" x14ac:dyDescent="0.15">
      <c r="A175" s="1">
        <f t="shared" si="4"/>
        <v>174</v>
      </c>
      <c r="B175" s="1" t="s">
        <v>20</v>
      </c>
      <c r="C175" s="1" t="s">
        <v>32</v>
      </c>
      <c r="D175" s="25" t="s">
        <v>457</v>
      </c>
      <c r="E175" s="28" t="s">
        <v>174</v>
      </c>
      <c r="F175" t="s">
        <v>458</v>
      </c>
      <c r="G175" s="3" t="s">
        <v>52</v>
      </c>
      <c r="H175" s="27">
        <v>0</v>
      </c>
      <c r="I175" s="9">
        <f t="shared" ca="1" si="5"/>
        <v>8.4062646177758493E-2</v>
      </c>
    </row>
    <row r="176" spans="1:9" ht="14" x14ac:dyDescent="0.15">
      <c r="A176" s="1">
        <f t="shared" si="4"/>
        <v>175</v>
      </c>
      <c r="B176" t="s">
        <v>3253</v>
      </c>
      <c r="C176" t="s">
        <v>32</v>
      </c>
      <c r="D176" s="25" t="s">
        <v>459</v>
      </c>
      <c r="E176" s="28" t="s">
        <v>174</v>
      </c>
      <c r="F176" t="s">
        <v>460</v>
      </c>
      <c r="G176" t="s">
        <v>52</v>
      </c>
      <c r="H176" s="27">
        <v>0</v>
      </c>
      <c r="I176" s="9">
        <f t="shared" ca="1" si="5"/>
        <v>7.139495486619718E-2</v>
      </c>
    </row>
    <row r="177" spans="1:9" ht="14" x14ac:dyDescent="0.15">
      <c r="A177" s="1">
        <f t="shared" si="4"/>
        <v>176</v>
      </c>
      <c r="B177" t="s">
        <v>3253</v>
      </c>
      <c r="C177" t="s">
        <v>32</v>
      </c>
      <c r="D177" s="25" t="s">
        <v>461</v>
      </c>
      <c r="E177" s="28" t="s">
        <v>174</v>
      </c>
      <c r="F177" t="s">
        <v>462</v>
      </c>
      <c r="G177" t="s">
        <v>52</v>
      </c>
      <c r="H177" s="27">
        <v>0</v>
      </c>
      <c r="I177" s="9">
        <f t="shared" ca="1" si="5"/>
        <v>0.30230113567891925</v>
      </c>
    </row>
    <row r="178" spans="1:9" ht="28" x14ac:dyDescent="0.15">
      <c r="A178" s="1">
        <f t="shared" si="4"/>
        <v>177</v>
      </c>
      <c r="B178" t="s">
        <v>3253</v>
      </c>
      <c r="C178" t="s">
        <v>32</v>
      </c>
      <c r="D178" s="25" t="s">
        <v>463</v>
      </c>
      <c r="E178" s="28" t="s">
        <v>174</v>
      </c>
      <c r="F178" t="s">
        <v>464</v>
      </c>
      <c r="G178" t="s">
        <v>25</v>
      </c>
      <c r="H178" s="27">
        <v>1</v>
      </c>
      <c r="I178" s="9">
        <f t="shared" ca="1" si="5"/>
        <v>0.53890989986698723</v>
      </c>
    </row>
    <row r="179" spans="1:9" ht="15.75" customHeight="1" x14ac:dyDescent="0.15">
      <c r="A179" s="1">
        <f t="shared" si="4"/>
        <v>178</v>
      </c>
      <c r="B179" t="s">
        <v>3253</v>
      </c>
      <c r="C179" t="s">
        <v>32</v>
      </c>
      <c r="D179" s="25" t="s">
        <v>465</v>
      </c>
      <c r="E179" s="28" t="s">
        <v>286</v>
      </c>
      <c r="F179" t="s">
        <v>466</v>
      </c>
      <c r="G179" t="s">
        <v>25</v>
      </c>
      <c r="H179" s="27">
        <v>0</v>
      </c>
      <c r="I179" s="9">
        <f t="shared" ca="1" si="5"/>
        <v>0.71650355921586428</v>
      </c>
    </row>
    <row r="180" spans="1:9" ht="15.75" customHeight="1" x14ac:dyDescent="0.15">
      <c r="A180" s="1">
        <f t="shared" si="4"/>
        <v>179</v>
      </c>
      <c r="B180" t="s">
        <v>3253</v>
      </c>
      <c r="C180" t="s">
        <v>32</v>
      </c>
      <c r="D180" s="25" t="s">
        <v>467</v>
      </c>
      <c r="E180" s="28" t="s">
        <v>174</v>
      </c>
      <c r="F180" t="s">
        <v>468</v>
      </c>
      <c r="G180" t="s">
        <v>52</v>
      </c>
      <c r="H180" s="27">
        <v>0</v>
      </c>
      <c r="I180" s="9">
        <f t="shared" ca="1" si="5"/>
        <v>0.76073436638485348</v>
      </c>
    </row>
    <row r="181" spans="1:9" ht="15.75" customHeight="1" x14ac:dyDescent="0.15">
      <c r="A181" s="1">
        <f t="shared" si="4"/>
        <v>180</v>
      </c>
      <c r="B181" t="s">
        <v>3253</v>
      </c>
      <c r="C181" t="s">
        <v>32</v>
      </c>
      <c r="D181" s="26" t="s">
        <v>469</v>
      </c>
      <c r="E181" s="28" t="s">
        <v>174</v>
      </c>
      <c r="F181" t="s">
        <v>470</v>
      </c>
      <c r="G181" t="s">
        <v>25</v>
      </c>
      <c r="H181" s="27">
        <v>0</v>
      </c>
      <c r="I181" s="9">
        <f t="shared" ca="1" si="5"/>
        <v>0.1274663209307586</v>
      </c>
    </row>
    <row r="182" spans="1:9" ht="15.75" customHeight="1" x14ac:dyDescent="0.15">
      <c r="A182" s="1">
        <f t="shared" si="4"/>
        <v>181</v>
      </c>
      <c r="B182" t="s">
        <v>3253</v>
      </c>
      <c r="C182" t="s">
        <v>32</v>
      </c>
      <c r="D182" s="25" t="s">
        <v>471</v>
      </c>
      <c r="E182" s="28" t="s">
        <v>286</v>
      </c>
      <c r="F182" t="s">
        <v>472</v>
      </c>
      <c r="G182" t="s">
        <v>52</v>
      </c>
      <c r="H182" s="27">
        <v>0</v>
      </c>
      <c r="I182" s="9">
        <f t="shared" ca="1" si="5"/>
        <v>0.96894520841784659</v>
      </c>
    </row>
    <row r="183" spans="1:9" ht="15.75" customHeight="1" x14ac:dyDescent="0.15">
      <c r="A183" s="1">
        <f t="shared" si="4"/>
        <v>182</v>
      </c>
      <c r="B183" t="s">
        <v>20</v>
      </c>
      <c r="C183" t="s">
        <v>21</v>
      </c>
      <c r="D183" s="25" t="s">
        <v>3269</v>
      </c>
      <c r="E183" s="29" t="s">
        <v>159</v>
      </c>
      <c r="F183" t="s">
        <v>473</v>
      </c>
      <c r="G183" t="s">
        <v>25</v>
      </c>
      <c r="H183" s="27">
        <v>0</v>
      </c>
      <c r="I183" s="9">
        <f t="shared" ca="1" si="5"/>
        <v>4.6353525120138683E-2</v>
      </c>
    </row>
    <row r="184" spans="1:9" ht="15.75" customHeight="1" x14ac:dyDescent="0.15">
      <c r="A184" s="1">
        <f t="shared" si="4"/>
        <v>183</v>
      </c>
      <c r="B184" t="s">
        <v>20</v>
      </c>
      <c r="C184" t="s">
        <v>21</v>
      </c>
      <c r="D184" s="25" t="s">
        <v>3270</v>
      </c>
      <c r="E184" s="29" t="s">
        <v>127</v>
      </c>
      <c r="F184" t="s">
        <v>474</v>
      </c>
      <c r="G184" t="s">
        <v>25</v>
      </c>
      <c r="H184" s="27">
        <v>0</v>
      </c>
      <c r="I184" s="9">
        <f t="shared" ca="1" si="5"/>
        <v>0.76968220297005785</v>
      </c>
    </row>
    <row r="185" spans="1:9" ht="15.75" customHeight="1" x14ac:dyDescent="0.15">
      <c r="A185" s="1">
        <f t="shared" si="4"/>
        <v>184</v>
      </c>
      <c r="B185" t="s">
        <v>20</v>
      </c>
      <c r="C185" t="s">
        <v>27</v>
      </c>
      <c r="D185" s="25" t="s">
        <v>475</v>
      </c>
      <c r="E185" s="28" t="s">
        <v>476</v>
      </c>
      <c r="F185" t="s">
        <v>477</v>
      </c>
      <c r="G185" t="s">
        <v>52</v>
      </c>
      <c r="H185" s="27">
        <v>0</v>
      </c>
      <c r="I185" s="9">
        <f t="shared" ca="1" si="5"/>
        <v>0.36774648746095462</v>
      </c>
    </row>
    <row r="186" spans="1:9" ht="15.75" customHeight="1" x14ac:dyDescent="0.15">
      <c r="A186" s="1">
        <f t="shared" si="4"/>
        <v>185</v>
      </c>
      <c r="B186" t="s">
        <v>20</v>
      </c>
      <c r="C186" t="s">
        <v>27</v>
      </c>
      <c r="D186" s="25" t="s">
        <v>478</v>
      </c>
      <c r="E186" s="29" t="s">
        <v>479</v>
      </c>
      <c r="F186" t="s">
        <v>480</v>
      </c>
      <c r="G186" t="s">
        <v>52</v>
      </c>
      <c r="H186" s="27">
        <v>0</v>
      </c>
      <c r="I186" s="9">
        <f t="shared" ca="1" si="5"/>
        <v>0.45012049012924427</v>
      </c>
    </row>
    <row r="187" spans="1:9" ht="15.75" customHeight="1" x14ac:dyDescent="0.15">
      <c r="A187" s="1">
        <f t="shared" si="4"/>
        <v>186</v>
      </c>
      <c r="B187" t="s">
        <v>20</v>
      </c>
      <c r="C187" t="s">
        <v>27</v>
      </c>
      <c r="D187" s="25" t="s">
        <v>481</v>
      </c>
      <c r="E187" s="28" t="s">
        <v>482</v>
      </c>
      <c r="F187" t="s">
        <v>483</v>
      </c>
      <c r="G187" t="s">
        <v>52</v>
      </c>
      <c r="H187" s="27">
        <v>0</v>
      </c>
      <c r="I187" s="9">
        <f t="shared" ca="1" si="5"/>
        <v>0.59548852957727638</v>
      </c>
    </row>
    <row r="188" spans="1:9" ht="15.75" customHeight="1" x14ac:dyDescent="0.15">
      <c r="A188" s="1">
        <f t="shared" si="4"/>
        <v>187</v>
      </c>
      <c r="B188" t="s">
        <v>20</v>
      </c>
      <c r="C188" t="s">
        <v>27</v>
      </c>
      <c r="D188" s="25" t="s">
        <v>484</v>
      </c>
      <c r="E188" s="28" t="s">
        <v>485</v>
      </c>
      <c r="F188" t="s">
        <v>486</v>
      </c>
      <c r="G188" t="s">
        <v>52</v>
      </c>
      <c r="H188" s="27">
        <v>0</v>
      </c>
      <c r="I188" s="9">
        <f t="shared" ca="1" si="5"/>
        <v>0.77470317001826616</v>
      </c>
    </row>
    <row r="189" spans="1:9" ht="15.75" customHeight="1" x14ac:dyDescent="0.15">
      <c r="A189" s="1">
        <f t="shared" si="4"/>
        <v>188</v>
      </c>
      <c r="B189" t="s">
        <v>20</v>
      </c>
      <c r="C189" t="s">
        <v>27</v>
      </c>
      <c r="D189" s="25" t="s">
        <v>487</v>
      </c>
      <c r="E189" s="28" t="s">
        <v>488</v>
      </c>
      <c r="F189" t="s">
        <v>489</v>
      </c>
      <c r="G189" t="s">
        <v>52</v>
      </c>
      <c r="H189" s="27">
        <v>0</v>
      </c>
      <c r="I189" s="9">
        <f t="shared" ca="1" si="5"/>
        <v>0.86664608426711309</v>
      </c>
    </row>
    <row r="190" spans="1:9" ht="15.75" customHeight="1" x14ac:dyDescent="0.15">
      <c r="A190" s="1">
        <f t="shared" si="4"/>
        <v>189</v>
      </c>
      <c r="B190" t="s">
        <v>20</v>
      </c>
      <c r="C190" t="s">
        <v>27</v>
      </c>
      <c r="D190" s="25" t="s">
        <v>490</v>
      </c>
      <c r="E190" s="30">
        <v>9</v>
      </c>
      <c r="F190" t="s">
        <v>491</v>
      </c>
      <c r="G190" t="s">
        <v>25</v>
      </c>
      <c r="H190" s="27">
        <v>1</v>
      </c>
      <c r="I190" s="9">
        <f t="shared" ca="1" si="5"/>
        <v>0.52490216485393126</v>
      </c>
    </row>
    <row r="191" spans="1:9" ht="15.75" customHeight="1" x14ac:dyDescent="0.15">
      <c r="A191" s="1">
        <f t="shared" si="4"/>
        <v>190</v>
      </c>
      <c r="B191" t="s">
        <v>20</v>
      </c>
      <c r="C191" t="s">
        <v>27</v>
      </c>
      <c r="D191" s="25" t="s">
        <v>492</v>
      </c>
      <c r="E191" s="30">
        <v>8</v>
      </c>
      <c r="F191" t="s">
        <v>493</v>
      </c>
      <c r="G191" t="s">
        <v>25</v>
      </c>
      <c r="H191" s="27">
        <v>1</v>
      </c>
      <c r="I191" s="9">
        <f t="shared" ca="1" si="5"/>
        <v>0.68162370516257265</v>
      </c>
    </row>
    <row r="192" spans="1:9" ht="15.75" customHeight="1" x14ac:dyDescent="0.15">
      <c r="A192" s="1">
        <f t="shared" si="4"/>
        <v>191</v>
      </c>
      <c r="B192" t="s">
        <v>20</v>
      </c>
      <c r="C192" t="s">
        <v>27</v>
      </c>
      <c r="D192" s="25" t="s">
        <v>494</v>
      </c>
      <c r="E192" s="29" t="s">
        <v>495</v>
      </c>
      <c r="F192" t="s">
        <v>496</v>
      </c>
      <c r="G192" t="s">
        <v>52</v>
      </c>
      <c r="H192" s="27">
        <v>0</v>
      </c>
      <c r="I192" s="9">
        <f t="shared" ca="1" si="5"/>
        <v>0.93881726868146598</v>
      </c>
    </row>
    <row r="193" spans="1:9" ht="15.75" customHeight="1" x14ac:dyDescent="0.15">
      <c r="A193" s="1">
        <f t="shared" si="4"/>
        <v>192</v>
      </c>
      <c r="B193" t="s">
        <v>3253</v>
      </c>
      <c r="C193" t="s">
        <v>32</v>
      </c>
      <c r="D193" s="25" t="s">
        <v>497</v>
      </c>
      <c r="E193" s="28" t="s">
        <v>286</v>
      </c>
      <c r="F193" t="s">
        <v>498</v>
      </c>
      <c r="G193" t="s">
        <v>25</v>
      </c>
      <c r="H193" s="27">
        <v>1</v>
      </c>
      <c r="I193" s="9">
        <f t="shared" ca="1" si="5"/>
        <v>0.31371823190764836</v>
      </c>
    </row>
    <row r="194" spans="1:9" ht="15.75" customHeight="1" x14ac:dyDescent="0.15">
      <c r="A194" s="1">
        <f t="shared" si="4"/>
        <v>193</v>
      </c>
      <c r="B194" t="s">
        <v>3253</v>
      </c>
      <c r="C194" t="s">
        <v>32</v>
      </c>
      <c r="D194" s="25" t="s">
        <v>499</v>
      </c>
      <c r="E194" s="28" t="s">
        <v>286</v>
      </c>
      <c r="F194" t="s">
        <v>500</v>
      </c>
      <c r="G194" t="s">
        <v>25</v>
      </c>
      <c r="H194" s="27">
        <v>1</v>
      </c>
      <c r="I194" s="9">
        <f t="shared" ca="1" si="5"/>
        <v>0.81384111074368526</v>
      </c>
    </row>
    <row r="195" spans="1:9" ht="15.75" customHeight="1" x14ac:dyDescent="0.15">
      <c r="A195" s="1">
        <f t="shared" ref="A195:A258" si="6">ROW() - 1</f>
        <v>194</v>
      </c>
      <c r="B195" t="s">
        <v>31</v>
      </c>
      <c r="C195" t="s">
        <v>21</v>
      </c>
      <c r="D195" s="25" t="s">
        <v>3271</v>
      </c>
      <c r="E195" s="28" t="s">
        <v>3297</v>
      </c>
      <c r="F195" t="s">
        <v>502</v>
      </c>
      <c r="G195" t="s">
        <v>15</v>
      </c>
      <c r="H195" s="27">
        <v>1</v>
      </c>
      <c r="I195" s="9">
        <f t="shared" ca="1" si="5"/>
        <v>0.55413045146776363</v>
      </c>
    </row>
    <row r="196" spans="1:9" ht="15.75" customHeight="1" x14ac:dyDescent="0.15">
      <c r="A196" s="1">
        <f t="shared" si="6"/>
        <v>195</v>
      </c>
      <c r="B196" t="s">
        <v>31</v>
      </c>
      <c r="C196" t="s">
        <v>21</v>
      </c>
      <c r="D196" s="25" t="s">
        <v>3272</v>
      </c>
      <c r="E196" s="28" t="s">
        <v>560</v>
      </c>
      <c r="F196" t="s">
        <v>504</v>
      </c>
      <c r="G196" t="s">
        <v>25</v>
      </c>
      <c r="H196" s="27">
        <v>1</v>
      </c>
      <c r="I196" s="9">
        <f t="shared" ref="I196:I259" ca="1" si="7">RAND()</f>
        <v>0.87643266059085712</v>
      </c>
    </row>
    <row r="197" spans="1:9" ht="15.75" customHeight="1" x14ac:dyDescent="0.15">
      <c r="A197" s="1">
        <f t="shared" si="6"/>
        <v>196</v>
      </c>
      <c r="B197" t="s">
        <v>31</v>
      </c>
      <c r="C197" t="s">
        <v>21</v>
      </c>
      <c r="D197" s="25" t="s">
        <v>3273</v>
      </c>
      <c r="E197" s="28" t="s">
        <v>601</v>
      </c>
      <c r="F197" t="s">
        <v>506</v>
      </c>
      <c r="G197" t="s">
        <v>25</v>
      </c>
      <c r="H197" s="27">
        <v>1</v>
      </c>
      <c r="I197" s="9">
        <f t="shared" ca="1" si="7"/>
        <v>0.25176804035176736</v>
      </c>
    </row>
    <row r="198" spans="1:9" ht="15.75" customHeight="1" x14ac:dyDescent="0.15">
      <c r="A198" s="1">
        <f t="shared" si="6"/>
        <v>197</v>
      </c>
      <c r="B198" t="s">
        <v>20</v>
      </c>
      <c r="C198" t="s">
        <v>27</v>
      </c>
      <c r="D198" s="25" t="s">
        <v>507</v>
      </c>
      <c r="E198" s="28" t="s">
        <v>3298</v>
      </c>
      <c r="F198" t="s">
        <v>509</v>
      </c>
      <c r="G198" t="s">
        <v>25</v>
      </c>
      <c r="H198" s="27">
        <v>1</v>
      </c>
      <c r="I198" s="9">
        <f t="shared" ca="1" si="7"/>
        <v>0.58279180706789357</v>
      </c>
    </row>
    <row r="199" spans="1:9" ht="15.75" customHeight="1" x14ac:dyDescent="0.15">
      <c r="A199" s="1">
        <f t="shared" si="6"/>
        <v>198</v>
      </c>
      <c r="B199" t="s">
        <v>20</v>
      </c>
      <c r="C199" t="s">
        <v>21</v>
      </c>
      <c r="D199" s="25" t="s">
        <v>3274</v>
      </c>
      <c r="E199" s="28" t="s">
        <v>106</v>
      </c>
      <c r="F199" t="s">
        <v>510</v>
      </c>
      <c r="G199" t="s">
        <v>52</v>
      </c>
      <c r="H199" s="24">
        <v>0</v>
      </c>
      <c r="I199" s="9">
        <f t="shared" ca="1" si="7"/>
        <v>0.34256641323613757</v>
      </c>
    </row>
    <row r="200" spans="1:9" ht="15.75" customHeight="1" x14ac:dyDescent="0.15">
      <c r="A200" s="1">
        <f t="shared" si="6"/>
        <v>199</v>
      </c>
      <c r="B200" t="s">
        <v>20</v>
      </c>
      <c r="C200" t="s">
        <v>21</v>
      </c>
      <c r="D200" s="25" t="s">
        <v>3275</v>
      </c>
      <c r="E200" s="29" t="s">
        <v>106</v>
      </c>
      <c r="F200" t="s">
        <v>511</v>
      </c>
      <c r="G200" t="s">
        <v>52</v>
      </c>
      <c r="H200" s="24">
        <v>0</v>
      </c>
      <c r="I200" s="9">
        <f t="shared" ca="1" si="7"/>
        <v>0.35856562435892581</v>
      </c>
    </row>
    <row r="201" spans="1:9" ht="15.75" customHeight="1" x14ac:dyDescent="0.15">
      <c r="A201" s="1">
        <f t="shared" si="6"/>
        <v>200</v>
      </c>
      <c r="B201" t="s">
        <v>31</v>
      </c>
      <c r="C201" t="s">
        <v>27</v>
      </c>
      <c r="D201" s="25" t="s">
        <v>512</v>
      </c>
      <c r="E201" s="29" t="s">
        <v>513</v>
      </c>
      <c r="F201" t="s">
        <v>514</v>
      </c>
      <c r="G201" t="s">
        <v>52</v>
      </c>
      <c r="H201" s="24">
        <v>0</v>
      </c>
      <c r="I201" s="9">
        <f t="shared" ca="1" si="7"/>
        <v>7.3086638249846403E-2</v>
      </c>
    </row>
    <row r="202" spans="1:9" ht="15.75" customHeight="1" x14ac:dyDescent="0.15">
      <c r="A202" s="1">
        <f t="shared" si="6"/>
        <v>201</v>
      </c>
      <c r="B202" t="s">
        <v>31</v>
      </c>
      <c r="C202" t="s">
        <v>27</v>
      </c>
      <c r="D202" s="25" t="s">
        <v>515</v>
      </c>
      <c r="E202" s="29" t="s">
        <v>516</v>
      </c>
      <c r="F202" t="s">
        <v>517</v>
      </c>
      <c r="G202" t="s">
        <v>25</v>
      </c>
      <c r="H202" s="24">
        <v>0</v>
      </c>
      <c r="I202" s="9">
        <f t="shared" ca="1" si="7"/>
        <v>0.91189818492573493</v>
      </c>
    </row>
    <row r="203" spans="1:9" ht="15.75" customHeight="1" x14ac:dyDescent="0.15">
      <c r="A203" s="1">
        <f t="shared" si="6"/>
        <v>202</v>
      </c>
      <c r="B203" t="s">
        <v>31</v>
      </c>
      <c r="C203" t="s">
        <v>21</v>
      </c>
      <c r="D203" s="25" t="s">
        <v>3276</v>
      </c>
      <c r="E203" s="28" t="s">
        <v>136</v>
      </c>
      <c r="F203" t="s">
        <v>519</v>
      </c>
      <c r="G203" t="s">
        <v>25</v>
      </c>
      <c r="H203" s="24">
        <v>0</v>
      </c>
      <c r="I203" s="9">
        <f t="shared" ca="1" si="7"/>
        <v>0.6915634362600751</v>
      </c>
    </row>
    <row r="204" spans="1:9" ht="15.75" customHeight="1" x14ac:dyDescent="0.15">
      <c r="A204" s="1">
        <f t="shared" si="6"/>
        <v>203</v>
      </c>
      <c r="B204" t="s">
        <v>31</v>
      </c>
      <c r="C204" t="s">
        <v>21</v>
      </c>
      <c r="D204" s="25" t="s">
        <v>3277</v>
      </c>
      <c r="E204" s="29" t="s">
        <v>127</v>
      </c>
      <c r="F204" t="s">
        <v>520</v>
      </c>
      <c r="G204" t="s">
        <v>52</v>
      </c>
      <c r="H204" s="24">
        <v>0</v>
      </c>
      <c r="I204" s="9">
        <f t="shared" ca="1" si="7"/>
        <v>0.53055382806095741</v>
      </c>
    </row>
    <row r="205" spans="1:9" ht="15.75" customHeight="1" x14ac:dyDescent="0.15">
      <c r="A205" s="1">
        <f t="shared" si="6"/>
        <v>204</v>
      </c>
      <c r="B205" t="s">
        <v>31</v>
      </c>
      <c r="C205" t="s">
        <v>27</v>
      </c>
      <c r="D205" s="25" t="s">
        <v>521</v>
      </c>
      <c r="E205" s="30">
        <v>34</v>
      </c>
      <c r="F205" t="s">
        <v>522</v>
      </c>
      <c r="G205" t="s">
        <v>25</v>
      </c>
      <c r="H205" s="24">
        <v>1</v>
      </c>
      <c r="I205" s="9">
        <f t="shared" ca="1" si="7"/>
        <v>0.31940408889139671</v>
      </c>
    </row>
    <row r="206" spans="1:9" ht="15.75" hidden="1" customHeight="1" x14ac:dyDescent="0.15">
      <c r="A206" s="1">
        <f t="shared" si="6"/>
        <v>205</v>
      </c>
      <c r="B206" t="s">
        <v>31</v>
      </c>
      <c r="C206" t="s">
        <v>16</v>
      </c>
      <c r="D206" s="25" t="s">
        <v>523</v>
      </c>
      <c r="E206" t="s">
        <v>98</v>
      </c>
      <c r="F206" t="s">
        <v>524</v>
      </c>
      <c r="G206" t="s">
        <v>52</v>
      </c>
      <c r="H206" s="24">
        <v>0</v>
      </c>
      <c r="I206" s="9">
        <f t="shared" ca="1" si="7"/>
        <v>5.0171711839226862E-2</v>
      </c>
    </row>
    <row r="207" spans="1:9" ht="15.75" customHeight="1" x14ac:dyDescent="0.15">
      <c r="A207" s="1">
        <f t="shared" si="6"/>
        <v>206</v>
      </c>
      <c r="B207" t="s">
        <v>31</v>
      </c>
      <c r="C207" t="s">
        <v>27</v>
      </c>
      <c r="D207" s="25" t="s">
        <v>525</v>
      </c>
      <c r="E207" s="29" t="s">
        <v>526</v>
      </c>
      <c r="F207" t="s">
        <v>527</v>
      </c>
      <c r="G207" t="s">
        <v>52</v>
      </c>
      <c r="H207" s="24">
        <v>0</v>
      </c>
      <c r="I207" s="9">
        <f t="shared" ca="1" si="7"/>
        <v>0.82934462614095683</v>
      </c>
    </row>
    <row r="208" spans="1:9" ht="15.75" customHeight="1" x14ac:dyDescent="0.15">
      <c r="A208" s="1">
        <f t="shared" si="6"/>
        <v>207</v>
      </c>
      <c r="B208" t="s">
        <v>31</v>
      </c>
      <c r="C208" t="s">
        <v>32</v>
      </c>
      <c r="D208" s="25" t="s">
        <v>528</v>
      </c>
      <c r="E208" s="29" t="s">
        <v>174</v>
      </c>
      <c r="F208" t="s">
        <v>529</v>
      </c>
      <c r="G208" t="s">
        <v>52</v>
      </c>
      <c r="H208" s="24">
        <v>0</v>
      </c>
      <c r="I208" s="9">
        <f t="shared" ca="1" si="7"/>
        <v>9.9695594831060386E-2</v>
      </c>
    </row>
    <row r="209" spans="1:9" ht="15.75" customHeight="1" x14ac:dyDescent="0.15">
      <c r="A209" s="1">
        <f t="shared" si="6"/>
        <v>208</v>
      </c>
      <c r="B209" t="s">
        <v>31</v>
      </c>
      <c r="C209" t="s">
        <v>32</v>
      </c>
      <c r="D209" s="25" t="s">
        <v>530</v>
      </c>
      <c r="E209" s="29" t="s">
        <v>174</v>
      </c>
      <c r="F209" t="s">
        <v>531</v>
      </c>
      <c r="G209" t="s">
        <v>52</v>
      </c>
      <c r="H209" s="24">
        <v>0</v>
      </c>
      <c r="I209" s="9">
        <f t="shared" ca="1" si="7"/>
        <v>0.55182350428986937</v>
      </c>
    </row>
    <row r="210" spans="1:9" ht="15.75" customHeight="1" x14ac:dyDescent="0.15">
      <c r="A210" s="1">
        <f t="shared" si="6"/>
        <v>209</v>
      </c>
      <c r="B210" t="s">
        <v>31</v>
      </c>
      <c r="C210" t="s">
        <v>32</v>
      </c>
      <c r="D210" s="25" t="s">
        <v>532</v>
      </c>
      <c r="E210" s="29" t="s">
        <v>174</v>
      </c>
      <c r="F210" t="s">
        <v>533</v>
      </c>
      <c r="G210" t="s">
        <v>25</v>
      </c>
      <c r="H210" s="24">
        <v>0</v>
      </c>
      <c r="I210" s="9">
        <f t="shared" ca="1" si="7"/>
        <v>0.72278580717134044</v>
      </c>
    </row>
    <row r="211" spans="1:9" ht="15.75" customHeight="1" x14ac:dyDescent="0.15">
      <c r="A211" s="1">
        <f t="shared" si="6"/>
        <v>210</v>
      </c>
      <c r="B211" t="s">
        <v>31</v>
      </c>
      <c r="C211" t="s">
        <v>27</v>
      </c>
      <c r="D211" s="25" t="s">
        <v>534</v>
      </c>
      <c r="E211" s="29" t="s">
        <v>535</v>
      </c>
      <c r="F211" t="s">
        <v>536</v>
      </c>
      <c r="G211" t="s">
        <v>25</v>
      </c>
      <c r="H211" s="24">
        <v>0</v>
      </c>
      <c r="I211" s="9">
        <f t="shared" ca="1" si="7"/>
        <v>0.71003969391203636</v>
      </c>
    </row>
    <row r="212" spans="1:9" ht="15.75" customHeight="1" x14ac:dyDescent="0.15">
      <c r="A212" s="1">
        <f t="shared" si="6"/>
        <v>211</v>
      </c>
      <c r="B212" t="s">
        <v>31</v>
      </c>
      <c r="C212" t="s">
        <v>27</v>
      </c>
      <c r="D212" s="25" t="s">
        <v>537</v>
      </c>
      <c r="E212" s="29" t="s">
        <v>538</v>
      </c>
      <c r="F212" t="s">
        <v>539</v>
      </c>
      <c r="G212" t="s">
        <v>15</v>
      </c>
      <c r="H212" s="24">
        <v>1</v>
      </c>
      <c r="I212" s="9">
        <f t="shared" ca="1" si="7"/>
        <v>0.63392910592518403</v>
      </c>
    </row>
    <row r="213" spans="1:9" ht="15.75" customHeight="1" x14ac:dyDescent="0.15">
      <c r="A213" s="1">
        <f t="shared" si="6"/>
        <v>212</v>
      </c>
      <c r="B213" t="s">
        <v>31</v>
      </c>
      <c r="C213" t="s">
        <v>21</v>
      </c>
      <c r="D213" s="25" t="s">
        <v>3278</v>
      </c>
      <c r="E213" s="28" t="s">
        <v>241</v>
      </c>
      <c r="F213" t="s">
        <v>541</v>
      </c>
      <c r="G213" t="s">
        <v>25</v>
      </c>
      <c r="H213" s="24">
        <v>1</v>
      </c>
      <c r="I213" s="9">
        <f t="shared" ca="1" si="7"/>
        <v>0.93220328100121552</v>
      </c>
    </row>
    <row r="214" spans="1:9" ht="15.75" customHeight="1" x14ac:dyDescent="0.15">
      <c r="A214" s="1">
        <f t="shared" si="6"/>
        <v>213</v>
      </c>
      <c r="B214" t="s">
        <v>31</v>
      </c>
      <c r="C214" t="s">
        <v>21</v>
      </c>
      <c r="D214" s="25" t="s">
        <v>3279</v>
      </c>
      <c r="E214" s="29" t="s">
        <v>127</v>
      </c>
      <c r="F214" t="s">
        <v>542</v>
      </c>
      <c r="G214" t="s">
        <v>25</v>
      </c>
      <c r="H214" s="24">
        <v>1</v>
      </c>
      <c r="I214" s="9">
        <f t="shared" ca="1" si="7"/>
        <v>0.77706018976895619</v>
      </c>
    </row>
    <row r="215" spans="1:9" ht="15.75" customHeight="1" x14ac:dyDescent="0.15">
      <c r="A215" s="1">
        <f t="shared" si="6"/>
        <v>214</v>
      </c>
      <c r="B215" t="s">
        <v>31</v>
      </c>
      <c r="C215" t="s">
        <v>21</v>
      </c>
      <c r="D215" s="25" t="s">
        <v>3280</v>
      </c>
      <c r="E215" s="28" t="s">
        <v>620</v>
      </c>
      <c r="F215" t="s">
        <v>544</v>
      </c>
      <c r="G215" t="s">
        <v>25</v>
      </c>
      <c r="H215" s="24">
        <v>1</v>
      </c>
      <c r="I215" s="9">
        <f t="shared" ca="1" si="7"/>
        <v>0.62573876121985661</v>
      </c>
    </row>
    <row r="216" spans="1:9" ht="15.75" customHeight="1" x14ac:dyDescent="0.15">
      <c r="A216" s="1">
        <f t="shared" si="6"/>
        <v>215</v>
      </c>
      <c r="B216" t="s">
        <v>31</v>
      </c>
      <c r="C216" t="s">
        <v>27</v>
      </c>
      <c r="D216" s="25" t="s">
        <v>545</v>
      </c>
      <c r="E216" s="28" t="s">
        <v>546</v>
      </c>
      <c r="F216" t="s">
        <v>547</v>
      </c>
      <c r="G216" t="s">
        <v>25</v>
      </c>
      <c r="H216" s="24">
        <v>1</v>
      </c>
      <c r="I216" s="9">
        <f t="shared" ca="1" si="7"/>
        <v>0.90310105767855042</v>
      </c>
    </row>
    <row r="217" spans="1:9" ht="15.75" customHeight="1" x14ac:dyDescent="0.15">
      <c r="A217" s="1">
        <f t="shared" si="6"/>
        <v>216</v>
      </c>
      <c r="B217" t="s">
        <v>31</v>
      </c>
      <c r="C217" t="s">
        <v>27</v>
      </c>
      <c r="D217" s="25" t="s">
        <v>548</v>
      </c>
      <c r="E217" s="29" t="s">
        <v>549</v>
      </c>
      <c r="F217" t="s">
        <v>550</v>
      </c>
      <c r="G217" t="s">
        <v>25</v>
      </c>
      <c r="H217" s="24">
        <v>1</v>
      </c>
      <c r="I217" s="9">
        <f t="shared" ca="1" si="7"/>
        <v>0.80849123679548285</v>
      </c>
    </row>
    <row r="218" spans="1:9" ht="15.75" customHeight="1" x14ac:dyDescent="0.15">
      <c r="A218" s="1">
        <f t="shared" si="6"/>
        <v>217</v>
      </c>
      <c r="B218" t="s">
        <v>31</v>
      </c>
      <c r="C218" t="s">
        <v>27</v>
      </c>
      <c r="D218" s="25" t="s">
        <v>551</v>
      </c>
      <c r="E218" s="29" t="s">
        <v>552</v>
      </c>
      <c r="F218" t="s">
        <v>553</v>
      </c>
      <c r="G218" t="s">
        <v>25</v>
      </c>
      <c r="H218" s="24">
        <v>1</v>
      </c>
      <c r="I218" s="9">
        <f t="shared" ca="1" si="7"/>
        <v>0.73973034816191796</v>
      </c>
    </row>
    <row r="219" spans="1:9" ht="15.75" customHeight="1" x14ac:dyDescent="0.15">
      <c r="A219" s="1">
        <f t="shared" si="6"/>
        <v>218</v>
      </c>
      <c r="B219" t="s">
        <v>31</v>
      </c>
      <c r="C219" t="s">
        <v>27</v>
      </c>
      <c r="D219" s="25" t="s">
        <v>554</v>
      </c>
      <c r="E219" s="29" t="s">
        <v>555</v>
      </c>
      <c r="F219" t="s">
        <v>556</v>
      </c>
      <c r="G219" t="s">
        <v>25</v>
      </c>
      <c r="H219" s="24">
        <v>1</v>
      </c>
      <c r="I219" s="9">
        <f t="shared" ca="1" si="7"/>
        <v>0.30838443643587987</v>
      </c>
    </row>
    <row r="220" spans="1:9" ht="15.75" customHeight="1" x14ac:dyDescent="0.15">
      <c r="A220" s="1">
        <f t="shared" si="6"/>
        <v>219</v>
      </c>
      <c r="B220" t="s">
        <v>31</v>
      </c>
      <c r="C220" t="s">
        <v>27</v>
      </c>
      <c r="D220" s="25" t="s">
        <v>557</v>
      </c>
      <c r="E220" s="29" t="s">
        <v>558</v>
      </c>
      <c r="F220" t="s">
        <v>559</v>
      </c>
      <c r="G220" t="s">
        <v>25</v>
      </c>
      <c r="H220" s="24">
        <v>1</v>
      </c>
      <c r="I220" s="9">
        <f t="shared" ca="1" si="7"/>
        <v>0.39274097312489498</v>
      </c>
    </row>
    <row r="221" spans="1:9" ht="15.75" customHeight="1" x14ac:dyDescent="0.15">
      <c r="A221" s="1">
        <f t="shared" si="6"/>
        <v>220</v>
      </c>
      <c r="B221" t="s">
        <v>3253</v>
      </c>
      <c r="C221" t="s">
        <v>21</v>
      </c>
      <c r="D221" s="25" t="s">
        <v>3281</v>
      </c>
      <c r="E221" s="29" t="s">
        <v>560</v>
      </c>
      <c r="F221" t="s">
        <v>561</v>
      </c>
      <c r="G221" t="s">
        <v>25</v>
      </c>
      <c r="H221" s="24">
        <v>1</v>
      </c>
      <c r="I221" s="9">
        <f t="shared" ca="1" si="7"/>
        <v>0.53643679684772738</v>
      </c>
    </row>
    <row r="222" spans="1:9" ht="15.75" customHeight="1" x14ac:dyDescent="0.15">
      <c r="A222" s="1">
        <f t="shared" si="6"/>
        <v>221</v>
      </c>
      <c r="B222" t="s">
        <v>3253</v>
      </c>
      <c r="C222" t="s">
        <v>21</v>
      </c>
      <c r="D222" s="25" t="s">
        <v>3282</v>
      </c>
      <c r="E222" s="29" t="s">
        <v>127</v>
      </c>
      <c r="F222" t="s">
        <v>562</v>
      </c>
      <c r="G222" t="s">
        <v>25</v>
      </c>
      <c r="H222" s="24">
        <v>1</v>
      </c>
      <c r="I222" s="9">
        <f t="shared" ca="1" si="7"/>
        <v>0.26300457477661621</v>
      </c>
    </row>
    <row r="223" spans="1:9" ht="15.75" customHeight="1" x14ac:dyDescent="0.15">
      <c r="A223" s="1">
        <f t="shared" si="6"/>
        <v>222</v>
      </c>
      <c r="B223" t="s">
        <v>3253</v>
      </c>
      <c r="C223" t="s">
        <v>21</v>
      </c>
      <c r="D223" s="25" t="s">
        <v>3283</v>
      </c>
      <c r="E223" s="28" t="s">
        <v>599</v>
      </c>
      <c r="F223" t="s">
        <v>564</v>
      </c>
      <c r="G223" t="s">
        <v>25</v>
      </c>
      <c r="H223" s="24">
        <v>1</v>
      </c>
      <c r="I223" s="9">
        <f t="shared" ca="1" si="7"/>
        <v>0.76292829595706724</v>
      </c>
    </row>
    <row r="224" spans="1:9" ht="15.75" hidden="1" customHeight="1" x14ac:dyDescent="0.15">
      <c r="A224" s="1">
        <f t="shared" si="6"/>
        <v>223</v>
      </c>
      <c r="B224" t="s">
        <v>3253</v>
      </c>
      <c r="C224" t="s">
        <v>16</v>
      </c>
      <c r="D224" s="25" t="s">
        <v>565</v>
      </c>
      <c r="E224" t="s">
        <v>127</v>
      </c>
      <c r="F224" t="s">
        <v>566</v>
      </c>
      <c r="G224" t="s">
        <v>25</v>
      </c>
      <c r="H224" s="24">
        <v>1</v>
      </c>
      <c r="I224" s="9">
        <f t="shared" ca="1" si="7"/>
        <v>3.9296884918035291E-2</v>
      </c>
    </row>
    <row r="225" spans="1:9" ht="15.75" hidden="1" customHeight="1" x14ac:dyDescent="0.15">
      <c r="A225" s="1">
        <f t="shared" si="6"/>
        <v>224</v>
      </c>
      <c r="B225" t="s">
        <v>3253</v>
      </c>
      <c r="C225" t="s">
        <v>16</v>
      </c>
      <c r="D225" s="25" t="s">
        <v>567</v>
      </c>
      <c r="E225" t="s">
        <v>98</v>
      </c>
      <c r="F225" t="s">
        <v>568</v>
      </c>
      <c r="G225" t="s">
        <v>25</v>
      </c>
      <c r="H225" s="24">
        <v>1</v>
      </c>
      <c r="I225" s="9">
        <f t="shared" ca="1" si="7"/>
        <v>0.72551337261849924</v>
      </c>
    </row>
    <row r="226" spans="1:9" ht="15.75" hidden="1" customHeight="1" x14ac:dyDescent="0.15">
      <c r="A226" s="1">
        <f t="shared" si="6"/>
        <v>225</v>
      </c>
      <c r="B226" t="s">
        <v>3253</v>
      </c>
      <c r="C226" t="s">
        <v>16</v>
      </c>
      <c r="D226" s="25" t="s">
        <v>569</v>
      </c>
      <c r="E226" t="s">
        <v>159</v>
      </c>
      <c r="F226" t="s">
        <v>570</v>
      </c>
      <c r="G226" t="s">
        <v>25</v>
      </c>
      <c r="H226" s="24">
        <v>1</v>
      </c>
      <c r="I226" s="9">
        <f t="shared" ca="1" si="7"/>
        <v>0.33159733049147433</v>
      </c>
    </row>
    <row r="227" spans="1:9" ht="15.75" hidden="1" customHeight="1" x14ac:dyDescent="0.15">
      <c r="A227" s="1">
        <f t="shared" si="6"/>
        <v>226</v>
      </c>
      <c r="B227" t="s">
        <v>3253</v>
      </c>
      <c r="C227" t="s">
        <v>16</v>
      </c>
      <c r="D227" s="25" t="s">
        <v>571</v>
      </c>
      <c r="E227" t="s">
        <v>127</v>
      </c>
      <c r="F227" t="s">
        <v>572</v>
      </c>
      <c r="G227" t="s">
        <v>15</v>
      </c>
      <c r="H227" s="24">
        <v>1</v>
      </c>
      <c r="I227" s="9">
        <f t="shared" ca="1" si="7"/>
        <v>0.64828978798712844</v>
      </c>
    </row>
    <row r="228" spans="1:9" ht="15.75" hidden="1" customHeight="1" x14ac:dyDescent="0.15">
      <c r="A228" s="1">
        <f t="shared" si="6"/>
        <v>227</v>
      </c>
      <c r="B228" t="s">
        <v>3253</v>
      </c>
      <c r="C228" t="s">
        <v>16</v>
      </c>
      <c r="D228" s="25" t="s">
        <v>573</v>
      </c>
      <c r="E228" t="s">
        <v>98</v>
      </c>
      <c r="F228" t="s">
        <v>574</v>
      </c>
      <c r="G228" t="s">
        <v>25</v>
      </c>
      <c r="H228" s="24">
        <v>1</v>
      </c>
      <c r="I228" s="9">
        <f t="shared" ca="1" si="7"/>
        <v>0.4158229770024332</v>
      </c>
    </row>
    <row r="229" spans="1:9" ht="15.75" customHeight="1" x14ac:dyDescent="0.15">
      <c r="A229" s="1">
        <f t="shared" si="6"/>
        <v>228</v>
      </c>
      <c r="B229" t="s">
        <v>3253</v>
      </c>
      <c r="C229" t="s">
        <v>27</v>
      </c>
      <c r="D229" s="25" t="s">
        <v>575</v>
      </c>
      <c r="E229" s="29" t="s">
        <v>576</v>
      </c>
      <c r="F229" t="s">
        <v>577</v>
      </c>
      <c r="G229" t="s">
        <v>25</v>
      </c>
      <c r="H229" s="24">
        <v>1</v>
      </c>
      <c r="I229" s="9">
        <f t="shared" ca="1" si="7"/>
        <v>0.40618780474809602</v>
      </c>
    </row>
    <row r="230" spans="1:9" ht="15.75" customHeight="1" x14ac:dyDescent="0.15">
      <c r="A230" s="1">
        <f t="shared" si="6"/>
        <v>229</v>
      </c>
      <c r="B230" t="s">
        <v>3253</v>
      </c>
      <c r="C230" t="s">
        <v>27</v>
      </c>
      <c r="D230" s="26" t="s">
        <v>578</v>
      </c>
      <c r="E230" s="28" t="s">
        <v>3299</v>
      </c>
      <c r="F230" s="9" t="s">
        <v>579</v>
      </c>
      <c r="G230" t="s">
        <v>25</v>
      </c>
      <c r="H230" s="24">
        <v>0</v>
      </c>
      <c r="I230" s="9">
        <f t="shared" ca="1" si="7"/>
        <v>0.95846012929989433</v>
      </c>
    </row>
    <row r="231" spans="1:9" ht="15.75" customHeight="1" x14ac:dyDescent="0.15">
      <c r="A231" s="1">
        <f t="shared" si="6"/>
        <v>230</v>
      </c>
      <c r="B231" t="s">
        <v>3253</v>
      </c>
      <c r="C231" t="s">
        <v>27</v>
      </c>
      <c r="D231" s="25" t="s">
        <v>580</v>
      </c>
      <c r="E231" s="28" t="s">
        <v>581</v>
      </c>
      <c r="F231" t="s">
        <v>582</v>
      </c>
      <c r="G231" t="s">
        <v>52</v>
      </c>
      <c r="H231" s="24">
        <v>0</v>
      </c>
      <c r="I231" s="9">
        <f t="shared" ca="1" si="7"/>
        <v>0.26794995845117053</v>
      </c>
    </row>
    <row r="232" spans="1:9" ht="15.75" customHeight="1" x14ac:dyDescent="0.15">
      <c r="A232" s="1">
        <f t="shared" si="6"/>
        <v>231</v>
      </c>
      <c r="B232" t="s">
        <v>3253</v>
      </c>
      <c r="C232" t="s">
        <v>27</v>
      </c>
      <c r="D232" s="25" t="s">
        <v>583</v>
      </c>
      <c r="E232" s="28" t="s">
        <v>584</v>
      </c>
      <c r="F232" t="s">
        <v>585</v>
      </c>
      <c r="G232" t="s">
        <v>52</v>
      </c>
      <c r="H232" s="24">
        <v>0</v>
      </c>
      <c r="I232" s="9">
        <f t="shared" ca="1" si="7"/>
        <v>0.1827846646584852</v>
      </c>
    </row>
    <row r="233" spans="1:9" ht="15.75" customHeight="1" x14ac:dyDescent="0.15">
      <c r="A233" s="1">
        <f t="shared" si="6"/>
        <v>232</v>
      </c>
      <c r="B233" t="s">
        <v>3253</v>
      </c>
      <c r="C233" t="s">
        <v>21</v>
      </c>
      <c r="D233" s="26" t="s">
        <v>3284</v>
      </c>
      <c r="E233" s="28" t="s">
        <v>1187</v>
      </c>
      <c r="F233" t="s">
        <v>586</v>
      </c>
      <c r="G233" t="s">
        <v>52</v>
      </c>
      <c r="H233" s="24">
        <v>0</v>
      </c>
      <c r="I233" s="9">
        <f t="shared" ca="1" si="7"/>
        <v>0.61200713280069918</v>
      </c>
    </row>
    <row r="234" spans="1:9" ht="15.75" customHeight="1" x14ac:dyDescent="0.15">
      <c r="A234" s="1">
        <f t="shared" si="6"/>
        <v>233</v>
      </c>
      <c r="B234" t="s">
        <v>3253</v>
      </c>
      <c r="C234" t="s">
        <v>27</v>
      </c>
      <c r="D234" s="25" t="s">
        <v>587</v>
      </c>
      <c r="E234" s="28" t="s">
        <v>588</v>
      </c>
      <c r="F234" t="s">
        <v>589</v>
      </c>
      <c r="G234" t="s">
        <v>25</v>
      </c>
      <c r="H234" s="24">
        <v>1</v>
      </c>
      <c r="I234" s="9">
        <f t="shared" ca="1" si="7"/>
        <v>0.91609979363592509</v>
      </c>
    </row>
    <row r="235" spans="1:9" ht="15.75" customHeight="1" x14ac:dyDescent="0.15">
      <c r="A235" s="1">
        <f t="shared" si="6"/>
        <v>234</v>
      </c>
      <c r="B235" t="s">
        <v>3253</v>
      </c>
      <c r="C235" t="s">
        <v>21</v>
      </c>
      <c r="D235" s="25" t="s">
        <v>590</v>
      </c>
      <c r="E235" s="29" t="s">
        <v>127</v>
      </c>
      <c r="F235" t="s">
        <v>591</v>
      </c>
      <c r="G235" t="s">
        <v>25</v>
      </c>
      <c r="H235" s="24">
        <v>0</v>
      </c>
      <c r="I235" s="9">
        <f t="shared" ca="1" si="7"/>
        <v>0.26121593189016812</v>
      </c>
    </row>
    <row r="236" spans="1:9" ht="15.75" customHeight="1" x14ac:dyDescent="0.15">
      <c r="A236" s="1">
        <f t="shared" si="6"/>
        <v>235</v>
      </c>
      <c r="B236" t="s">
        <v>3253</v>
      </c>
      <c r="C236" t="s">
        <v>21</v>
      </c>
      <c r="D236" s="25" t="s">
        <v>592</v>
      </c>
      <c r="E236" s="29" t="s">
        <v>593</v>
      </c>
      <c r="F236" t="s">
        <v>594</v>
      </c>
      <c r="G236" t="s">
        <v>25</v>
      </c>
      <c r="H236" s="24">
        <v>0</v>
      </c>
      <c r="I236" s="9">
        <f t="shared" ca="1" si="7"/>
        <v>0.67973811104483484</v>
      </c>
    </row>
    <row r="237" spans="1:9" ht="15.75" hidden="1" customHeight="1" x14ac:dyDescent="0.15">
      <c r="A237" s="1">
        <f t="shared" si="6"/>
        <v>236</v>
      </c>
      <c r="B237" t="s">
        <v>20</v>
      </c>
      <c r="C237" t="s">
        <v>16</v>
      </c>
      <c r="D237" s="25" t="s">
        <v>595</v>
      </c>
      <c r="E237" t="s">
        <v>127</v>
      </c>
      <c r="F237" t="s">
        <v>596</v>
      </c>
      <c r="G237" t="s">
        <v>52</v>
      </c>
      <c r="H237" s="24">
        <v>0</v>
      </c>
      <c r="I237" s="9">
        <f t="shared" ca="1" si="7"/>
        <v>0.8528160313948786</v>
      </c>
    </row>
    <row r="238" spans="1:9" ht="15.75" hidden="1" customHeight="1" x14ac:dyDescent="0.15">
      <c r="A238" s="1">
        <f t="shared" si="6"/>
        <v>237</v>
      </c>
      <c r="B238" t="s">
        <v>20</v>
      </c>
      <c r="C238" t="s">
        <v>16</v>
      </c>
      <c r="D238" s="25" t="s">
        <v>597</v>
      </c>
      <c r="E238" t="s">
        <v>98</v>
      </c>
      <c r="F238" t="s">
        <v>598</v>
      </c>
      <c r="G238" t="s">
        <v>25</v>
      </c>
      <c r="H238" s="24">
        <v>0</v>
      </c>
      <c r="I238" s="9">
        <f t="shared" ca="1" si="7"/>
        <v>0.54570433413555464</v>
      </c>
    </row>
    <row r="239" spans="1:9" ht="15.75" customHeight="1" x14ac:dyDescent="0.15">
      <c r="A239" s="1">
        <f t="shared" si="6"/>
        <v>238</v>
      </c>
      <c r="B239" t="s">
        <v>20</v>
      </c>
      <c r="C239" t="s">
        <v>21</v>
      </c>
      <c r="D239" s="25" t="s">
        <v>3285</v>
      </c>
      <c r="E239" s="29" t="s">
        <v>599</v>
      </c>
      <c r="F239" t="s">
        <v>600</v>
      </c>
      <c r="G239" t="s">
        <v>15</v>
      </c>
      <c r="H239" s="24">
        <v>0</v>
      </c>
      <c r="I239" s="9">
        <f t="shared" ca="1" si="7"/>
        <v>0.77525929572772934</v>
      </c>
    </row>
    <row r="240" spans="1:9" ht="15.75" customHeight="1" x14ac:dyDescent="0.15">
      <c r="A240" s="1">
        <f t="shared" si="6"/>
        <v>239</v>
      </c>
      <c r="B240" t="s">
        <v>20</v>
      </c>
      <c r="C240" t="s">
        <v>21</v>
      </c>
      <c r="D240" s="25" t="s">
        <v>3286</v>
      </c>
      <c r="E240" s="29" t="s">
        <v>601</v>
      </c>
      <c r="F240" t="s">
        <v>602</v>
      </c>
      <c r="G240" t="s">
        <v>25</v>
      </c>
      <c r="H240" s="24">
        <v>0</v>
      </c>
      <c r="I240" s="9">
        <f t="shared" ca="1" si="7"/>
        <v>0.41930496221233948</v>
      </c>
    </row>
    <row r="241" spans="1:9" ht="15.75" customHeight="1" x14ac:dyDescent="0.15">
      <c r="A241" s="1">
        <f t="shared" si="6"/>
        <v>240</v>
      </c>
      <c r="B241" t="s">
        <v>20</v>
      </c>
      <c r="C241" t="s">
        <v>21</v>
      </c>
      <c r="D241" s="25" t="s">
        <v>3287</v>
      </c>
      <c r="E241" s="28" t="s">
        <v>599</v>
      </c>
      <c r="F241" t="s">
        <v>603</v>
      </c>
      <c r="G241" t="s">
        <v>25</v>
      </c>
      <c r="H241" s="24">
        <v>0</v>
      </c>
      <c r="I241" s="9">
        <f t="shared" ca="1" si="7"/>
        <v>0.37800422355478358</v>
      </c>
    </row>
    <row r="242" spans="1:9" ht="15.75" customHeight="1" x14ac:dyDescent="0.15">
      <c r="A242" s="1">
        <f t="shared" si="6"/>
        <v>241</v>
      </c>
      <c r="B242" t="s">
        <v>20</v>
      </c>
      <c r="C242" t="s">
        <v>21</v>
      </c>
      <c r="D242" s="25" t="s">
        <v>3288</v>
      </c>
      <c r="E242" s="28" t="s">
        <v>560</v>
      </c>
      <c r="F242" t="s">
        <v>604</v>
      </c>
      <c r="G242" t="s">
        <v>25</v>
      </c>
      <c r="H242" s="24">
        <v>0</v>
      </c>
      <c r="I242" s="9">
        <f t="shared" ca="1" si="7"/>
        <v>4.1802773863835574E-2</v>
      </c>
    </row>
    <row r="243" spans="1:9" ht="15.75" customHeight="1" x14ac:dyDescent="0.15">
      <c r="A243" s="1">
        <f t="shared" si="6"/>
        <v>242</v>
      </c>
      <c r="B243" t="s">
        <v>20</v>
      </c>
      <c r="C243" t="s">
        <v>21</v>
      </c>
      <c r="D243" s="25" t="s">
        <v>3289</v>
      </c>
      <c r="E243" s="29" t="s">
        <v>605</v>
      </c>
      <c r="F243" t="s">
        <v>606</v>
      </c>
      <c r="G243" t="s">
        <v>25</v>
      </c>
      <c r="H243" s="24">
        <v>0</v>
      </c>
      <c r="I243" s="9">
        <f t="shared" ca="1" si="7"/>
        <v>7.6830069035043969E-2</v>
      </c>
    </row>
    <row r="244" spans="1:9" ht="15.75" hidden="1" customHeight="1" x14ac:dyDescent="0.15">
      <c r="A244" s="1">
        <f t="shared" si="6"/>
        <v>243</v>
      </c>
      <c r="B244" t="s">
        <v>20</v>
      </c>
      <c r="C244" t="s">
        <v>16</v>
      </c>
      <c r="D244" s="25" t="s">
        <v>607</v>
      </c>
      <c r="E244" t="s">
        <v>159</v>
      </c>
      <c r="F244" t="s">
        <v>608</v>
      </c>
      <c r="G244" t="s">
        <v>52</v>
      </c>
      <c r="H244" s="24">
        <v>0</v>
      </c>
      <c r="I244" s="9">
        <f t="shared" ca="1" si="7"/>
        <v>0.31492687446919476</v>
      </c>
    </row>
    <row r="245" spans="1:9" ht="15.75" hidden="1" customHeight="1" x14ac:dyDescent="0.15">
      <c r="A245" s="1">
        <f t="shared" si="6"/>
        <v>244</v>
      </c>
      <c r="B245" t="s">
        <v>20</v>
      </c>
      <c r="C245" t="s">
        <v>16</v>
      </c>
      <c r="D245" s="25" t="s">
        <v>609</v>
      </c>
      <c r="E245" t="s">
        <v>106</v>
      </c>
      <c r="F245" t="s">
        <v>610</v>
      </c>
      <c r="G245" t="s">
        <v>52</v>
      </c>
      <c r="H245" s="24">
        <v>0</v>
      </c>
      <c r="I245" s="9">
        <f t="shared" ca="1" si="7"/>
        <v>0.88778161106067754</v>
      </c>
    </row>
    <row r="246" spans="1:9" ht="15.75" customHeight="1" x14ac:dyDescent="0.15">
      <c r="A246" s="1">
        <f t="shared" si="6"/>
        <v>245</v>
      </c>
      <c r="B246" t="s">
        <v>20</v>
      </c>
      <c r="C246" t="s">
        <v>27</v>
      </c>
      <c r="D246" s="25" t="s">
        <v>611</v>
      </c>
      <c r="E246" s="30">
        <v>27</v>
      </c>
      <c r="F246" t="s">
        <v>612</v>
      </c>
      <c r="G246" t="s">
        <v>25</v>
      </c>
      <c r="H246" s="24">
        <v>1</v>
      </c>
      <c r="I246" s="9">
        <f t="shared" ca="1" si="7"/>
        <v>0.7301608185240076</v>
      </c>
    </row>
    <row r="247" spans="1:9" ht="15.75" customHeight="1" x14ac:dyDescent="0.15">
      <c r="A247" s="1">
        <f t="shared" si="6"/>
        <v>246</v>
      </c>
      <c r="B247" t="s">
        <v>20</v>
      </c>
      <c r="C247" t="s">
        <v>27</v>
      </c>
      <c r="D247" s="25" t="s">
        <v>613</v>
      </c>
      <c r="E247" s="29" t="s">
        <v>614</v>
      </c>
      <c r="F247" t="s">
        <v>615</v>
      </c>
      <c r="G247" t="s">
        <v>15</v>
      </c>
      <c r="H247" s="24">
        <v>1</v>
      </c>
      <c r="I247" s="9">
        <f t="shared" ca="1" si="7"/>
        <v>0.57042407298567643</v>
      </c>
    </row>
    <row r="248" spans="1:9" ht="15.75" customHeight="1" x14ac:dyDescent="0.15">
      <c r="A248" s="1">
        <f t="shared" si="6"/>
        <v>247</v>
      </c>
      <c r="B248" t="s">
        <v>20</v>
      </c>
      <c r="C248" t="s">
        <v>21</v>
      </c>
      <c r="D248" s="25" t="s">
        <v>3290</v>
      </c>
      <c r="E248" s="28" t="s">
        <v>132</v>
      </c>
      <c r="F248" t="s">
        <v>617</v>
      </c>
      <c r="G248" t="s">
        <v>15</v>
      </c>
      <c r="H248" s="24">
        <v>1</v>
      </c>
      <c r="I248" s="9">
        <f t="shared" ca="1" si="7"/>
        <v>0.65630654244767284</v>
      </c>
    </row>
    <row r="249" spans="1:9" ht="15.75" customHeight="1" x14ac:dyDescent="0.15">
      <c r="A249" s="1">
        <f t="shared" si="6"/>
        <v>248</v>
      </c>
      <c r="B249" t="s">
        <v>20</v>
      </c>
      <c r="C249" t="s">
        <v>21</v>
      </c>
      <c r="D249" s="25" t="s">
        <v>3291</v>
      </c>
      <c r="E249" s="28" t="s">
        <v>3300</v>
      </c>
      <c r="F249" t="s">
        <v>619</v>
      </c>
      <c r="G249" t="s">
        <v>25</v>
      </c>
      <c r="H249" s="24">
        <v>1</v>
      </c>
      <c r="I249" s="9">
        <f t="shared" ca="1" si="7"/>
        <v>0.99453948692740612</v>
      </c>
    </row>
    <row r="250" spans="1:9" ht="15.75" customHeight="1" x14ac:dyDescent="0.15">
      <c r="A250" s="1">
        <f t="shared" si="6"/>
        <v>249</v>
      </c>
      <c r="B250" t="s">
        <v>20</v>
      </c>
      <c r="C250" t="s">
        <v>21</v>
      </c>
      <c r="D250" s="25" t="s">
        <v>3292</v>
      </c>
      <c r="E250" t="s">
        <v>620</v>
      </c>
      <c r="F250" t="s">
        <v>621</v>
      </c>
      <c r="G250" t="s">
        <v>25</v>
      </c>
      <c r="H250" s="24">
        <v>0</v>
      </c>
      <c r="I250" s="9">
        <f t="shared" ca="1" si="7"/>
        <v>0.5431736181526865</v>
      </c>
    </row>
    <row r="251" spans="1:9" ht="15.75" customHeight="1" x14ac:dyDescent="0.15">
      <c r="A251" s="1">
        <f t="shared" si="6"/>
        <v>250</v>
      </c>
      <c r="B251" t="s">
        <v>20</v>
      </c>
      <c r="C251" t="s">
        <v>21</v>
      </c>
      <c r="D251" s="26" t="s">
        <v>3293</v>
      </c>
      <c r="E251" t="s">
        <v>622</v>
      </c>
      <c r="F251" t="s">
        <v>623</v>
      </c>
      <c r="G251" t="s">
        <v>25</v>
      </c>
      <c r="H251" s="24">
        <v>0</v>
      </c>
      <c r="I251" s="9">
        <f t="shared" ca="1" si="7"/>
        <v>0.6054476798385493</v>
      </c>
    </row>
    <row r="252" spans="1:9" ht="15.75" customHeight="1" x14ac:dyDescent="0.15">
      <c r="A252" s="10">
        <f t="shared" si="6"/>
        <v>251</v>
      </c>
      <c r="B252" s="10" t="s">
        <v>20</v>
      </c>
      <c r="C252" s="10" t="s">
        <v>27</v>
      </c>
      <c r="D252" s="11" t="s">
        <v>1226</v>
      </c>
      <c r="E252" s="11" t="s">
        <v>1227</v>
      </c>
      <c r="F252" s="11" t="s">
        <v>1228</v>
      </c>
      <c r="G252" s="13"/>
      <c r="H252" s="22">
        <v>0</v>
      </c>
      <c r="I252" s="9">
        <f t="shared" ca="1" si="7"/>
        <v>0.40608330979553109</v>
      </c>
    </row>
    <row r="253" spans="1:9" ht="15.75" hidden="1" customHeight="1" x14ac:dyDescent="0.15">
      <c r="A253" s="10">
        <f t="shared" si="6"/>
        <v>252</v>
      </c>
      <c r="B253" s="11" t="s">
        <v>36</v>
      </c>
      <c r="C253" s="10" t="s">
        <v>16</v>
      </c>
      <c r="D253" s="12" t="s">
        <v>1229</v>
      </c>
      <c r="E253" s="13" t="s">
        <v>98</v>
      </c>
      <c r="F253" s="12" t="s">
        <v>1230</v>
      </c>
      <c r="G253" s="13"/>
      <c r="H253" s="14">
        <v>1</v>
      </c>
      <c r="I253" s="9">
        <f t="shared" ca="1" si="7"/>
        <v>0.76091698360917659</v>
      </c>
    </row>
    <row r="254" spans="1:9" ht="15.75" customHeight="1" x14ac:dyDescent="0.15">
      <c r="A254" s="10">
        <f t="shared" si="6"/>
        <v>253</v>
      </c>
      <c r="B254" s="11" t="s">
        <v>36</v>
      </c>
      <c r="C254" s="10" t="s">
        <v>27</v>
      </c>
      <c r="D254" s="11" t="s">
        <v>1231</v>
      </c>
      <c r="E254" s="14">
        <v>0.40400000000000003</v>
      </c>
      <c r="F254" s="11" t="s">
        <v>1232</v>
      </c>
      <c r="G254" s="13"/>
      <c r="H254" s="14">
        <v>1</v>
      </c>
      <c r="I254" s="9">
        <f t="shared" ca="1" si="7"/>
        <v>0.59123579361170564</v>
      </c>
    </row>
    <row r="255" spans="1:9" ht="15.75" customHeight="1" x14ac:dyDescent="0.15">
      <c r="A255" s="10">
        <f t="shared" si="6"/>
        <v>254</v>
      </c>
      <c r="B255" s="11" t="s">
        <v>36</v>
      </c>
      <c r="C255" s="10" t="s">
        <v>27</v>
      </c>
      <c r="D255" s="11" t="s">
        <v>1233</v>
      </c>
      <c r="E255" s="15">
        <v>2336</v>
      </c>
      <c r="F255" s="11" t="s">
        <v>1234</v>
      </c>
      <c r="G255" s="13"/>
      <c r="H255" s="14">
        <v>1</v>
      </c>
      <c r="I255" s="9">
        <f t="shared" ca="1" si="7"/>
        <v>0.15335557156711155</v>
      </c>
    </row>
    <row r="256" spans="1:9" ht="15.75" hidden="1" customHeight="1" x14ac:dyDescent="0.15">
      <c r="A256" s="10">
        <f t="shared" si="6"/>
        <v>255</v>
      </c>
      <c r="B256" s="11" t="s">
        <v>3253</v>
      </c>
      <c r="C256" s="10" t="s">
        <v>16</v>
      </c>
      <c r="D256" s="12" t="s">
        <v>1235</v>
      </c>
      <c r="E256" s="13" t="s">
        <v>98</v>
      </c>
      <c r="F256" s="12" t="s">
        <v>1236</v>
      </c>
      <c r="G256" s="13"/>
      <c r="H256" s="14">
        <v>1</v>
      </c>
      <c r="I256" s="9">
        <f t="shared" ca="1" si="7"/>
        <v>0.76384760656910844</v>
      </c>
    </row>
    <row r="257" spans="1:9" ht="15.75" customHeight="1" x14ac:dyDescent="0.15">
      <c r="A257" s="10">
        <f t="shared" si="6"/>
        <v>256</v>
      </c>
      <c r="B257" s="11" t="s">
        <v>31</v>
      </c>
      <c r="C257" s="10" t="s">
        <v>27</v>
      </c>
      <c r="D257" s="11" t="s">
        <v>1237</v>
      </c>
      <c r="E257" s="11" t="s">
        <v>1238</v>
      </c>
      <c r="F257" s="11" t="s">
        <v>1239</v>
      </c>
      <c r="G257" s="13"/>
      <c r="H257" s="22">
        <v>0</v>
      </c>
      <c r="I257" s="9">
        <f t="shared" ca="1" si="7"/>
        <v>0.88435781048066797</v>
      </c>
    </row>
    <row r="258" spans="1:9" ht="15.75" customHeight="1" x14ac:dyDescent="0.15">
      <c r="A258" s="10">
        <f t="shared" si="6"/>
        <v>257</v>
      </c>
      <c r="B258" s="12" t="s">
        <v>3253</v>
      </c>
      <c r="C258" s="10" t="s">
        <v>32</v>
      </c>
      <c r="D258" s="12" t="s">
        <v>1240</v>
      </c>
      <c r="E258" s="12" t="s">
        <v>174</v>
      </c>
      <c r="F258" s="11" t="s">
        <v>1241</v>
      </c>
      <c r="G258" s="13"/>
      <c r="H258" s="22">
        <v>0</v>
      </c>
      <c r="I258" s="9">
        <f t="shared" ca="1" si="7"/>
        <v>8.2131505864057042E-3</v>
      </c>
    </row>
    <row r="259" spans="1:9" ht="15.75" customHeight="1" x14ac:dyDescent="0.15">
      <c r="A259" s="10">
        <f t="shared" ref="A259:A322" si="8">ROW() - 1</f>
        <v>258</v>
      </c>
      <c r="B259" s="10" t="s">
        <v>20</v>
      </c>
      <c r="C259" s="10" t="s">
        <v>32</v>
      </c>
      <c r="D259" s="11" t="s">
        <v>1242</v>
      </c>
      <c r="E259" s="12" t="s">
        <v>174</v>
      </c>
      <c r="F259" s="11" t="s">
        <v>1243</v>
      </c>
      <c r="G259" s="13"/>
      <c r="H259" s="22">
        <v>0</v>
      </c>
      <c r="I259" s="9">
        <f t="shared" ca="1" si="7"/>
        <v>0.68338925208093049</v>
      </c>
    </row>
    <row r="260" spans="1:9" ht="15.75" hidden="1" customHeight="1" x14ac:dyDescent="0.15">
      <c r="A260" s="10">
        <f t="shared" si="8"/>
        <v>259</v>
      </c>
      <c r="B260" s="11" t="s">
        <v>36</v>
      </c>
      <c r="C260" s="10" t="s">
        <v>11</v>
      </c>
      <c r="D260" s="11" t="s">
        <v>1244</v>
      </c>
      <c r="E260" s="11" t="s">
        <v>1245</v>
      </c>
      <c r="F260" s="11" t="s">
        <v>1246</v>
      </c>
      <c r="G260" s="13"/>
      <c r="H260" s="22">
        <v>0</v>
      </c>
      <c r="I260" s="9">
        <f t="shared" ref="I260:I323" ca="1" si="9">RAND()</f>
        <v>0.13237544220323894</v>
      </c>
    </row>
    <row r="261" spans="1:9" ht="15.75" customHeight="1" x14ac:dyDescent="0.15">
      <c r="A261" s="10">
        <f t="shared" si="8"/>
        <v>260</v>
      </c>
      <c r="B261" s="11" t="s">
        <v>36</v>
      </c>
      <c r="C261" s="10" t="s">
        <v>21</v>
      </c>
      <c r="D261" s="11" t="s">
        <v>1247</v>
      </c>
      <c r="E261" s="13" t="s">
        <v>241</v>
      </c>
      <c r="F261" s="11" t="s">
        <v>1248</v>
      </c>
      <c r="G261" s="13"/>
      <c r="H261" s="22">
        <v>0</v>
      </c>
      <c r="I261" s="9">
        <f t="shared" ca="1" si="9"/>
        <v>0.16933410659868819</v>
      </c>
    </row>
    <row r="262" spans="1:9" ht="15.75" customHeight="1" x14ac:dyDescent="0.15">
      <c r="A262" s="10">
        <f t="shared" si="8"/>
        <v>261</v>
      </c>
      <c r="B262" s="12" t="s">
        <v>3253</v>
      </c>
      <c r="C262" s="10" t="s">
        <v>21</v>
      </c>
      <c r="D262" s="11" t="s">
        <v>1249</v>
      </c>
      <c r="E262" s="13" t="s">
        <v>129</v>
      </c>
      <c r="F262" s="12" t="s">
        <v>1250</v>
      </c>
      <c r="G262" s="13"/>
      <c r="H262" s="22">
        <v>0</v>
      </c>
      <c r="I262" s="9">
        <f t="shared" ca="1" si="9"/>
        <v>4.3148561212699166E-3</v>
      </c>
    </row>
    <row r="263" spans="1:9" ht="15.75" customHeight="1" x14ac:dyDescent="0.15">
      <c r="A263" s="10">
        <f t="shared" si="8"/>
        <v>262</v>
      </c>
      <c r="B263" s="12" t="s">
        <v>3253</v>
      </c>
      <c r="C263" s="10" t="s">
        <v>32</v>
      </c>
      <c r="D263" s="11" t="s">
        <v>1251</v>
      </c>
      <c r="E263" s="12" t="s">
        <v>174</v>
      </c>
      <c r="F263" s="11" t="s">
        <v>1252</v>
      </c>
      <c r="G263" s="13"/>
      <c r="H263" s="22">
        <v>0</v>
      </c>
      <c r="I263" s="9">
        <f t="shared" ca="1" si="9"/>
        <v>0.26067197547732446</v>
      </c>
    </row>
    <row r="264" spans="1:9" ht="15.75" customHeight="1" x14ac:dyDescent="0.15">
      <c r="A264" s="10">
        <f t="shared" si="8"/>
        <v>263</v>
      </c>
      <c r="B264" s="12" t="s">
        <v>3253</v>
      </c>
      <c r="C264" s="10" t="s">
        <v>21</v>
      </c>
      <c r="D264" s="11" t="s">
        <v>1253</v>
      </c>
      <c r="E264" s="13" t="s">
        <v>560</v>
      </c>
      <c r="F264" s="12" t="s">
        <v>1254</v>
      </c>
      <c r="G264" s="13"/>
      <c r="H264" s="22">
        <v>0</v>
      </c>
      <c r="I264" s="9">
        <f t="shared" ca="1" si="9"/>
        <v>0.68077361803600001</v>
      </c>
    </row>
    <row r="265" spans="1:9" ht="15.75" customHeight="1" x14ac:dyDescent="0.15">
      <c r="A265" s="10">
        <f t="shared" si="8"/>
        <v>264</v>
      </c>
      <c r="B265" s="11" t="s">
        <v>36</v>
      </c>
      <c r="C265" s="10" t="s">
        <v>21</v>
      </c>
      <c r="D265" s="11" t="s">
        <v>1255</v>
      </c>
      <c r="E265" s="13" t="s">
        <v>129</v>
      </c>
      <c r="F265" s="11" t="s">
        <v>1256</v>
      </c>
      <c r="G265" s="13"/>
      <c r="H265" s="22">
        <v>0</v>
      </c>
      <c r="I265" s="9">
        <f t="shared" ca="1" si="9"/>
        <v>0.86172467643460038</v>
      </c>
    </row>
    <row r="266" spans="1:9" ht="15.75" customHeight="1" x14ac:dyDescent="0.15">
      <c r="A266" s="10">
        <f t="shared" si="8"/>
        <v>265</v>
      </c>
      <c r="B266" s="12" t="s">
        <v>3253</v>
      </c>
      <c r="C266" s="10" t="s">
        <v>27</v>
      </c>
      <c r="D266" s="11" t="s">
        <v>1257</v>
      </c>
      <c r="E266" s="11" t="s">
        <v>1258</v>
      </c>
      <c r="F266" s="11" t="s">
        <v>1259</v>
      </c>
      <c r="G266" s="13"/>
      <c r="H266" s="22">
        <v>0</v>
      </c>
      <c r="I266" s="9">
        <f t="shared" ca="1" si="9"/>
        <v>0.36312497001199584</v>
      </c>
    </row>
    <row r="267" spans="1:9" ht="15.75" customHeight="1" x14ac:dyDescent="0.15">
      <c r="A267" s="10">
        <f t="shared" si="8"/>
        <v>266</v>
      </c>
      <c r="B267" s="12" t="s">
        <v>3253</v>
      </c>
      <c r="C267" s="10" t="s">
        <v>32</v>
      </c>
      <c r="D267" s="11" t="s">
        <v>1260</v>
      </c>
      <c r="E267" s="12" t="s">
        <v>286</v>
      </c>
      <c r="F267" s="11" t="s">
        <v>1261</v>
      </c>
      <c r="G267" s="13"/>
      <c r="H267" s="22">
        <v>0</v>
      </c>
      <c r="I267" s="9">
        <f t="shared" ca="1" si="9"/>
        <v>0.77237398350944053</v>
      </c>
    </row>
    <row r="268" spans="1:9" ht="15.75" customHeight="1" x14ac:dyDescent="0.15">
      <c r="A268" s="10">
        <f t="shared" si="8"/>
        <v>267</v>
      </c>
      <c r="B268" s="10" t="s">
        <v>20</v>
      </c>
      <c r="C268" s="10" t="s">
        <v>32</v>
      </c>
      <c r="D268" s="11" t="s">
        <v>1262</v>
      </c>
      <c r="E268" s="12" t="s">
        <v>286</v>
      </c>
      <c r="F268" s="11" t="s">
        <v>1263</v>
      </c>
      <c r="G268" s="13"/>
      <c r="H268" s="22">
        <v>0</v>
      </c>
      <c r="I268" s="9">
        <f t="shared" ca="1" si="9"/>
        <v>0.87727198915627369</v>
      </c>
    </row>
    <row r="269" spans="1:9" ht="15.75" customHeight="1" x14ac:dyDescent="0.15">
      <c r="A269" s="10">
        <f t="shared" si="8"/>
        <v>268</v>
      </c>
      <c r="B269" s="12" t="s">
        <v>3253</v>
      </c>
      <c r="C269" s="10" t="s">
        <v>27</v>
      </c>
      <c r="D269" s="12" t="s">
        <v>1264</v>
      </c>
      <c r="E269" s="15">
        <v>50</v>
      </c>
      <c r="F269" s="12" t="s">
        <v>1265</v>
      </c>
      <c r="G269" s="13"/>
      <c r="H269" s="14">
        <v>1</v>
      </c>
      <c r="I269" s="9">
        <f t="shared" ca="1" si="9"/>
        <v>0.41493282250958485</v>
      </c>
    </row>
    <row r="270" spans="1:9" ht="15.75" customHeight="1" x14ac:dyDescent="0.15">
      <c r="A270" s="10">
        <f t="shared" si="8"/>
        <v>269</v>
      </c>
      <c r="B270" s="12" t="s">
        <v>1266</v>
      </c>
      <c r="C270" s="10" t="s">
        <v>32</v>
      </c>
      <c r="D270" s="12" t="s">
        <v>1267</v>
      </c>
      <c r="E270" s="12" t="s">
        <v>174</v>
      </c>
      <c r="F270" s="11" t="s">
        <v>1268</v>
      </c>
      <c r="G270" s="13"/>
      <c r="H270" s="22">
        <v>0</v>
      </c>
      <c r="I270" s="9">
        <f t="shared" ca="1" si="9"/>
        <v>0.40235794892174037</v>
      </c>
    </row>
    <row r="271" spans="1:9" ht="15.75" hidden="1" customHeight="1" x14ac:dyDescent="0.15">
      <c r="A271" s="10">
        <f t="shared" si="8"/>
        <v>270</v>
      </c>
      <c r="B271" s="11" t="s">
        <v>31</v>
      </c>
      <c r="C271" s="10" t="s">
        <v>11</v>
      </c>
      <c r="D271" s="12" t="s">
        <v>1269</v>
      </c>
      <c r="E271" s="12" t="s">
        <v>1270</v>
      </c>
      <c r="F271" s="11" t="s">
        <v>1271</v>
      </c>
      <c r="G271" s="13"/>
      <c r="H271" s="22">
        <v>0</v>
      </c>
      <c r="I271" s="9">
        <f t="shared" ca="1" si="9"/>
        <v>0.75399311340899844</v>
      </c>
    </row>
    <row r="272" spans="1:9" ht="15.75" hidden="1" customHeight="1" x14ac:dyDescent="0.15">
      <c r="A272" s="10">
        <f t="shared" si="8"/>
        <v>271</v>
      </c>
      <c r="B272" s="12" t="s">
        <v>3253</v>
      </c>
      <c r="C272" s="10" t="s">
        <v>11</v>
      </c>
      <c r="D272" s="11" t="s">
        <v>1272</v>
      </c>
      <c r="E272" s="12" t="s">
        <v>1273</v>
      </c>
      <c r="F272" s="11" t="s">
        <v>1274</v>
      </c>
      <c r="G272" s="13"/>
      <c r="H272" s="22">
        <v>0</v>
      </c>
      <c r="I272" s="9">
        <f t="shared" ca="1" si="9"/>
        <v>0.49384065466067073</v>
      </c>
    </row>
    <row r="273" spans="1:9" ht="15.75" hidden="1" customHeight="1" x14ac:dyDescent="0.15">
      <c r="A273" s="10">
        <f t="shared" si="8"/>
        <v>272</v>
      </c>
      <c r="B273" s="12" t="s">
        <v>3253</v>
      </c>
      <c r="C273" s="10" t="s">
        <v>16</v>
      </c>
      <c r="D273" s="11" t="s">
        <v>1275</v>
      </c>
      <c r="E273" s="13" t="s">
        <v>98</v>
      </c>
      <c r="F273" s="12" t="s">
        <v>1276</v>
      </c>
      <c r="G273" s="13"/>
      <c r="H273" s="22">
        <v>0</v>
      </c>
      <c r="I273" s="9">
        <f t="shared" ca="1" si="9"/>
        <v>0.19386251660717269</v>
      </c>
    </row>
    <row r="274" spans="1:9" ht="15.75" hidden="1" customHeight="1" x14ac:dyDescent="0.15">
      <c r="A274" s="10">
        <f t="shared" si="8"/>
        <v>273</v>
      </c>
      <c r="B274" s="11" t="s">
        <v>31</v>
      </c>
      <c r="C274" s="10" t="s">
        <v>11</v>
      </c>
      <c r="D274" s="11" t="s">
        <v>1277</v>
      </c>
      <c r="E274" s="12" t="s">
        <v>1278</v>
      </c>
      <c r="F274" s="11" t="s">
        <v>1279</v>
      </c>
      <c r="G274" s="13"/>
      <c r="H274" s="22">
        <v>0</v>
      </c>
      <c r="I274" s="9">
        <f t="shared" ca="1" si="9"/>
        <v>0.97163332799589464</v>
      </c>
    </row>
    <row r="275" spans="1:9" ht="15.75" customHeight="1" x14ac:dyDescent="0.15">
      <c r="A275" s="10">
        <f t="shared" si="8"/>
        <v>274</v>
      </c>
      <c r="B275" s="10" t="s">
        <v>20</v>
      </c>
      <c r="C275" s="10" t="s">
        <v>27</v>
      </c>
      <c r="D275" s="11" t="s">
        <v>1280</v>
      </c>
      <c r="E275" s="11" t="s">
        <v>1281</v>
      </c>
      <c r="F275" s="11" t="s">
        <v>1282</v>
      </c>
      <c r="G275" s="13"/>
      <c r="H275" s="22">
        <v>0</v>
      </c>
      <c r="I275" s="9">
        <f t="shared" ca="1" si="9"/>
        <v>0.10551801498409918</v>
      </c>
    </row>
    <row r="276" spans="1:9" ht="15.75" hidden="1" customHeight="1" x14ac:dyDescent="0.15">
      <c r="A276" s="10">
        <f t="shared" si="8"/>
        <v>275</v>
      </c>
      <c r="B276" s="12" t="s">
        <v>1266</v>
      </c>
      <c r="C276" s="10" t="s">
        <v>11</v>
      </c>
      <c r="D276" s="11" t="s">
        <v>1283</v>
      </c>
      <c r="E276" s="12" t="s">
        <v>1284</v>
      </c>
      <c r="F276" s="11" t="s">
        <v>1285</v>
      </c>
      <c r="G276" s="13"/>
      <c r="H276" s="22">
        <v>0</v>
      </c>
      <c r="I276" s="9">
        <f t="shared" ca="1" si="9"/>
        <v>0.62833428474139685</v>
      </c>
    </row>
    <row r="277" spans="1:9" ht="15.75" hidden="1" customHeight="1" x14ac:dyDescent="0.2">
      <c r="A277" s="10">
        <f t="shared" si="8"/>
        <v>276</v>
      </c>
      <c r="B277" s="11" t="s">
        <v>36</v>
      </c>
      <c r="C277" s="10" t="s">
        <v>11</v>
      </c>
      <c r="D277" s="16" t="s">
        <v>1286</v>
      </c>
      <c r="E277" s="12" t="s">
        <v>1287</v>
      </c>
      <c r="F277" s="11" t="s">
        <v>1288</v>
      </c>
      <c r="G277" s="13"/>
      <c r="H277" s="22">
        <v>0</v>
      </c>
      <c r="I277" s="9">
        <f t="shared" ca="1" si="9"/>
        <v>0.77633132292631635</v>
      </c>
    </row>
    <row r="278" spans="1:9" ht="15.75" hidden="1" customHeight="1" x14ac:dyDescent="0.15">
      <c r="A278" s="10">
        <f t="shared" si="8"/>
        <v>277</v>
      </c>
      <c r="B278" s="11" t="s">
        <v>31</v>
      </c>
      <c r="C278" s="10" t="s">
        <v>11</v>
      </c>
      <c r="D278" s="12" t="s">
        <v>1289</v>
      </c>
      <c r="E278" s="12" t="s">
        <v>1290</v>
      </c>
      <c r="F278" s="11" t="s">
        <v>1291</v>
      </c>
      <c r="G278" s="13"/>
      <c r="H278" s="22">
        <v>0</v>
      </c>
      <c r="I278" s="9">
        <f t="shared" ca="1" si="9"/>
        <v>0.49027719186099072</v>
      </c>
    </row>
    <row r="279" spans="1:9" ht="15.75" hidden="1" customHeight="1" x14ac:dyDescent="0.15">
      <c r="A279" s="10">
        <f t="shared" si="8"/>
        <v>278</v>
      </c>
      <c r="B279" s="11" t="s">
        <v>31</v>
      </c>
      <c r="C279" s="10" t="s">
        <v>16</v>
      </c>
      <c r="D279" s="11" t="s">
        <v>1292</v>
      </c>
      <c r="E279" s="13" t="s">
        <v>98</v>
      </c>
      <c r="F279" s="11" t="s">
        <v>1293</v>
      </c>
      <c r="G279" s="13"/>
      <c r="H279" s="22">
        <v>0</v>
      </c>
      <c r="I279" s="9">
        <f t="shared" ca="1" si="9"/>
        <v>0.72823808375822607</v>
      </c>
    </row>
    <row r="280" spans="1:9" ht="15.75" hidden="1" customHeight="1" x14ac:dyDescent="0.15">
      <c r="A280" s="10">
        <f t="shared" si="8"/>
        <v>279</v>
      </c>
      <c r="B280" s="12" t="s">
        <v>3253</v>
      </c>
      <c r="C280" s="10" t="s">
        <v>11</v>
      </c>
      <c r="D280" s="12" t="s">
        <v>1294</v>
      </c>
      <c r="E280" s="12" t="s">
        <v>1295</v>
      </c>
      <c r="F280" s="11" t="s">
        <v>1296</v>
      </c>
      <c r="G280" s="13"/>
      <c r="H280" s="22">
        <v>0</v>
      </c>
      <c r="I280" s="9">
        <f t="shared" ca="1" si="9"/>
        <v>0.2061513904347706</v>
      </c>
    </row>
    <row r="281" spans="1:9" ht="15.75" customHeight="1" x14ac:dyDescent="0.15">
      <c r="A281" s="10">
        <f t="shared" si="8"/>
        <v>280</v>
      </c>
      <c r="B281" s="12" t="s">
        <v>3253</v>
      </c>
      <c r="C281" s="10" t="s">
        <v>32</v>
      </c>
      <c r="D281" s="12" t="s">
        <v>1297</v>
      </c>
      <c r="E281" s="12" t="s">
        <v>174</v>
      </c>
      <c r="F281" s="11" t="s">
        <v>1298</v>
      </c>
      <c r="G281" s="13"/>
      <c r="H281" s="22">
        <v>0</v>
      </c>
      <c r="I281" s="9">
        <f t="shared" ca="1" si="9"/>
        <v>0.37478800129702283</v>
      </c>
    </row>
    <row r="282" spans="1:9" ht="15.75" customHeight="1" x14ac:dyDescent="0.15">
      <c r="A282" s="10">
        <f t="shared" si="8"/>
        <v>281</v>
      </c>
      <c r="B282" s="11" t="s">
        <v>36</v>
      </c>
      <c r="C282" s="10" t="s">
        <v>21</v>
      </c>
      <c r="D282" s="12" t="s">
        <v>1299</v>
      </c>
      <c r="E282" s="13" t="s">
        <v>134</v>
      </c>
      <c r="F282" s="12" t="s">
        <v>1300</v>
      </c>
      <c r="G282" s="13"/>
      <c r="H282" s="22">
        <v>0</v>
      </c>
      <c r="I282" s="9">
        <f t="shared" ca="1" si="9"/>
        <v>0.97224440156856495</v>
      </c>
    </row>
    <row r="283" spans="1:9" ht="15.75" customHeight="1" x14ac:dyDescent="0.15">
      <c r="A283" s="10">
        <f t="shared" si="8"/>
        <v>282</v>
      </c>
      <c r="B283" s="10" t="s">
        <v>20</v>
      </c>
      <c r="C283" s="10" t="s">
        <v>32</v>
      </c>
      <c r="D283" s="11" t="s">
        <v>1301</v>
      </c>
      <c r="E283" s="12" t="s">
        <v>174</v>
      </c>
      <c r="F283" s="11" t="s">
        <v>1302</v>
      </c>
      <c r="G283" s="13"/>
      <c r="H283" s="22">
        <v>0</v>
      </c>
      <c r="I283" s="9">
        <f t="shared" ca="1" si="9"/>
        <v>0.33791442822384177</v>
      </c>
    </row>
    <row r="284" spans="1:9" ht="15.75" hidden="1" customHeight="1" x14ac:dyDescent="0.15">
      <c r="A284" s="10">
        <f t="shared" si="8"/>
        <v>283</v>
      </c>
      <c r="B284" s="12" t="s">
        <v>20</v>
      </c>
      <c r="C284" s="10" t="s">
        <v>16</v>
      </c>
      <c r="D284" s="12" t="s">
        <v>1303</v>
      </c>
      <c r="E284" s="13" t="s">
        <v>106</v>
      </c>
      <c r="F284" s="12" t="s">
        <v>1304</v>
      </c>
      <c r="G284" s="13"/>
      <c r="H284" s="22">
        <v>0</v>
      </c>
      <c r="I284" s="9">
        <f t="shared" ca="1" si="9"/>
        <v>0.28807670993648404</v>
      </c>
    </row>
    <row r="285" spans="1:9" ht="15.75" hidden="1" customHeight="1" x14ac:dyDescent="0.15">
      <c r="A285" s="10">
        <f t="shared" si="8"/>
        <v>284</v>
      </c>
      <c r="B285" s="12" t="s">
        <v>1266</v>
      </c>
      <c r="C285" s="10" t="s">
        <v>16</v>
      </c>
      <c r="D285" s="11" t="s">
        <v>1305</v>
      </c>
      <c r="E285" s="13" t="s">
        <v>98</v>
      </c>
      <c r="F285" s="11" t="s">
        <v>1306</v>
      </c>
      <c r="G285" s="13"/>
      <c r="H285" s="14">
        <v>1</v>
      </c>
      <c r="I285" s="9">
        <f t="shared" ca="1" si="9"/>
        <v>0.89384968656233355</v>
      </c>
    </row>
    <row r="286" spans="1:9" ht="15.75" customHeight="1" x14ac:dyDescent="0.15">
      <c r="A286" s="10">
        <f t="shared" si="8"/>
        <v>285</v>
      </c>
      <c r="B286" s="12" t="s">
        <v>3253</v>
      </c>
      <c r="C286" s="10" t="s">
        <v>21</v>
      </c>
      <c r="D286" s="12" t="s">
        <v>1307</v>
      </c>
      <c r="E286" s="13" t="s">
        <v>134</v>
      </c>
      <c r="F286" s="12" t="s">
        <v>1308</v>
      </c>
      <c r="G286" s="13"/>
      <c r="H286" s="22">
        <v>0</v>
      </c>
      <c r="I286" s="9">
        <f t="shared" ca="1" si="9"/>
        <v>0.17992763670084622</v>
      </c>
    </row>
    <row r="287" spans="1:9" ht="15.75" hidden="1" customHeight="1" x14ac:dyDescent="0.15">
      <c r="A287" s="10">
        <f t="shared" si="8"/>
        <v>286</v>
      </c>
      <c r="B287" s="10" t="s">
        <v>20</v>
      </c>
      <c r="C287" s="10" t="s">
        <v>11</v>
      </c>
      <c r="D287" s="12" t="s">
        <v>1309</v>
      </c>
      <c r="E287" s="12" t="s">
        <v>1310</v>
      </c>
      <c r="F287" s="11" t="s">
        <v>1311</v>
      </c>
      <c r="G287" s="13"/>
      <c r="H287" s="22">
        <v>0</v>
      </c>
      <c r="I287" s="9">
        <f t="shared" ca="1" si="9"/>
        <v>0.18122856194648662</v>
      </c>
    </row>
    <row r="288" spans="1:9" ht="15.75" customHeight="1" x14ac:dyDescent="0.15">
      <c r="A288" s="10">
        <f t="shared" si="8"/>
        <v>287</v>
      </c>
      <c r="B288" s="12" t="s">
        <v>3253</v>
      </c>
      <c r="C288" s="10" t="s">
        <v>21</v>
      </c>
      <c r="D288" s="11" t="s">
        <v>1312</v>
      </c>
      <c r="E288" s="13" t="s">
        <v>141</v>
      </c>
      <c r="F288" s="11" t="s">
        <v>1313</v>
      </c>
      <c r="G288" s="13"/>
      <c r="H288" s="22">
        <v>0</v>
      </c>
      <c r="I288" s="9">
        <f t="shared" ca="1" si="9"/>
        <v>0.78505009407839332</v>
      </c>
    </row>
    <row r="289" spans="1:9" ht="15.75" customHeight="1" x14ac:dyDescent="0.15">
      <c r="A289" s="10">
        <f t="shared" si="8"/>
        <v>288</v>
      </c>
      <c r="B289" s="12" t="s">
        <v>3253</v>
      </c>
      <c r="C289" s="10" t="s">
        <v>21</v>
      </c>
      <c r="D289" s="11" t="s">
        <v>1314</v>
      </c>
      <c r="E289" s="13" t="s">
        <v>620</v>
      </c>
      <c r="F289" s="12" t="s">
        <v>1315</v>
      </c>
      <c r="G289" s="13"/>
      <c r="H289" s="22">
        <v>0</v>
      </c>
      <c r="I289" s="9">
        <f t="shared" ca="1" si="9"/>
        <v>0.11608875564211241</v>
      </c>
    </row>
    <row r="290" spans="1:9" ht="15.75" customHeight="1" x14ac:dyDescent="0.15">
      <c r="A290" s="10">
        <f t="shared" si="8"/>
        <v>289</v>
      </c>
      <c r="B290" s="12" t="s">
        <v>3253</v>
      </c>
      <c r="C290" s="10" t="s">
        <v>27</v>
      </c>
      <c r="D290" s="12" t="s">
        <v>1316</v>
      </c>
      <c r="E290" s="12" t="s">
        <v>1317</v>
      </c>
      <c r="F290" s="12" t="s">
        <v>1318</v>
      </c>
      <c r="G290" s="13"/>
      <c r="H290" s="14">
        <v>1</v>
      </c>
      <c r="I290" s="9">
        <f t="shared" ca="1" si="9"/>
        <v>0.2433684164336436</v>
      </c>
    </row>
    <row r="291" spans="1:9" ht="15.75" hidden="1" customHeight="1" x14ac:dyDescent="0.15">
      <c r="A291" s="10">
        <f t="shared" si="8"/>
        <v>290</v>
      </c>
      <c r="B291" s="11" t="s">
        <v>31</v>
      </c>
      <c r="C291" s="10" t="s">
        <v>11</v>
      </c>
      <c r="D291" s="11" t="s">
        <v>1319</v>
      </c>
      <c r="E291" s="12" t="s">
        <v>1320</v>
      </c>
      <c r="F291" s="11" t="s">
        <v>1321</v>
      </c>
      <c r="G291" s="13"/>
      <c r="H291" s="22">
        <v>0</v>
      </c>
      <c r="I291" s="9">
        <f t="shared" ca="1" si="9"/>
        <v>0.13299325109112103</v>
      </c>
    </row>
    <row r="292" spans="1:9" ht="15.75" hidden="1" customHeight="1" x14ac:dyDescent="0.15">
      <c r="A292" s="10">
        <f t="shared" si="8"/>
        <v>291</v>
      </c>
      <c r="B292" s="11" t="s">
        <v>36</v>
      </c>
      <c r="C292" s="10" t="s">
        <v>11</v>
      </c>
      <c r="D292" s="11" t="s">
        <v>1322</v>
      </c>
      <c r="E292" s="11" t="s">
        <v>1323</v>
      </c>
      <c r="F292" s="11" t="s">
        <v>1324</v>
      </c>
      <c r="G292" s="13"/>
      <c r="H292" s="22">
        <v>0</v>
      </c>
      <c r="I292" s="9">
        <f t="shared" ca="1" si="9"/>
        <v>0.80405012827324118</v>
      </c>
    </row>
    <row r="293" spans="1:9" ht="15.75" customHeight="1" x14ac:dyDescent="0.15">
      <c r="A293" s="10">
        <f t="shared" si="8"/>
        <v>292</v>
      </c>
      <c r="B293" s="10" t="s">
        <v>20</v>
      </c>
      <c r="C293" s="10" t="s">
        <v>27</v>
      </c>
      <c r="D293" s="11" t="s">
        <v>1325</v>
      </c>
      <c r="E293" s="15">
        <v>5</v>
      </c>
      <c r="F293" s="11" t="s">
        <v>1326</v>
      </c>
      <c r="G293" s="13"/>
      <c r="H293" s="22">
        <v>0</v>
      </c>
      <c r="I293" s="9">
        <f t="shared" ca="1" si="9"/>
        <v>0.58161295316193895</v>
      </c>
    </row>
    <row r="294" spans="1:9" ht="15.75" hidden="1" customHeight="1" x14ac:dyDescent="0.15">
      <c r="A294" s="10">
        <f t="shared" si="8"/>
        <v>293</v>
      </c>
      <c r="B294" s="11" t="s">
        <v>31</v>
      </c>
      <c r="C294" s="10" t="s">
        <v>16</v>
      </c>
      <c r="D294" s="11" t="s">
        <v>1327</v>
      </c>
      <c r="E294" s="13" t="s">
        <v>98</v>
      </c>
      <c r="F294" s="11" t="s">
        <v>1328</v>
      </c>
      <c r="G294" s="13"/>
      <c r="H294" s="22">
        <v>0</v>
      </c>
      <c r="I294" s="9">
        <f t="shared" ca="1" si="9"/>
        <v>0.19244451095327875</v>
      </c>
    </row>
    <row r="295" spans="1:9" ht="15.75" customHeight="1" x14ac:dyDescent="0.15">
      <c r="A295" s="10">
        <f t="shared" si="8"/>
        <v>294</v>
      </c>
      <c r="B295" s="11" t="s">
        <v>31</v>
      </c>
      <c r="C295" s="10" t="s">
        <v>21</v>
      </c>
      <c r="D295" s="12" t="s">
        <v>1329</v>
      </c>
      <c r="E295" s="13" t="s">
        <v>241</v>
      </c>
      <c r="F295" s="12" t="s">
        <v>1330</v>
      </c>
      <c r="G295" s="13"/>
      <c r="H295" s="22">
        <v>0</v>
      </c>
      <c r="I295" s="9">
        <f t="shared" ca="1" si="9"/>
        <v>0.18346438228478212</v>
      </c>
    </row>
    <row r="296" spans="1:9" ht="15.75" customHeight="1" x14ac:dyDescent="0.15">
      <c r="A296" s="10">
        <f t="shared" si="8"/>
        <v>295</v>
      </c>
      <c r="B296" s="10" t="s">
        <v>20</v>
      </c>
      <c r="C296" s="10" t="s">
        <v>21</v>
      </c>
      <c r="D296" s="12" t="s">
        <v>1331</v>
      </c>
      <c r="E296" s="13" t="s">
        <v>134</v>
      </c>
      <c r="F296" s="12" t="s">
        <v>1332</v>
      </c>
      <c r="G296" s="13"/>
      <c r="H296" s="22">
        <v>0</v>
      </c>
      <c r="I296" s="9">
        <f t="shared" ca="1" si="9"/>
        <v>0.84472008958496492</v>
      </c>
    </row>
    <row r="297" spans="1:9" ht="15.75" customHeight="1" x14ac:dyDescent="0.15">
      <c r="A297" s="10">
        <f t="shared" si="8"/>
        <v>296</v>
      </c>
      <c r="B297" s="11" t="s">
        <v>36</v>
      </c>
      <c r="C297" s="10" t="s">
        <v>27</v>
      </c>
      <c r="D297" s="11" t="s">
        <v>1333</v>
      </c>
      <c r="E297" s="11" t="s">
        <v>1334</v>
      </c>
      <c r="F297" s="11" t="s">
        <v>1335</v>
      </c>
      <c r="G297" s="13"/>
      <c r="H297" s="22">
        <v>0</v>
      </c>
      <c r="I297" s="9">
        <f t="shared" ca="1" si="9"/>
        <v>0.69763674525796704</v>
      </c>
    </row>
    <row r="298" spans="1:9" ht="15.75" customHeight="1" x14ac:dyDescent="0.15">
      <c r="A298" s="10">
        <f t="shared" si="8"/>
        <v>297</v>
      </c>
      <c r="B298" s="12" t="s">
        <v>3253</v>
      </c>
      <c r="C298" s="10" t="s">
        <v>27</v>
      </c>
      <c r="D298" s="12" t="s">
        <v>1336</v>
      </c>
      <c r="E298" s="12" t="s">
        <v>1337</v>
      </c>
      <c r="F298" s="12" t="s">
        <v>1338</v>
      </c>
      <c r="G298" s="13"/>
      <c r="H298" s="22">
        <v>0</v>
      </c>
      <c r="I298" s="9">
        <f t="shared" ca="1" si="9"/>
        <v>0.80044461440997094</v>
      </c>
    </row>
    <row r="299" spans="1:9" ht="15.75" hidden="1" customHeight="1" x14ac:dyDescent="0.2">
      <c r="A299" s="10">
        <f t="shared" si="8"/>
        <v>298</v>
      </c>
      <c r="B299" s="10" t="s">
        <v>20</v>
      </c>
      <c r="C299" s="10" t="s">
        <v>11</v>
      </c>
      <c r="D299" s="16" t="s">
        <v>1339</v>
      </c>
      <c r="E299" s="11" t="s">
        <v>1340</v>
      </c>
      <c r="F299" s="11" t="s">
        <v>1341</v>
      </c>
      <c r="G299" s="13"/>
      <c r="H299" s="14">
        <v>1</v>
      </c>
      <c r="I299" s="9">
        <f t="shared" ca="1" si="9"/>
        <v>0.98998122942376365</v>
      </c>
    </row>
    <row r="300" spans="1:9" ht="15.75" customHeight="1" x14ac:dyDescent="0.15">
      <c r="A300" s="10">
        <f t="shared" si="8"/>
        <v>299</v>
      </c>
      <c r="B300" s="11" t="s">
        <v>1266</v>
      </c>
      <c r="C300" s="10" t="s">
        <v>32</v>
      </c>
      <c r="D300" s="11" t="s">
        <v>1342</v>
      </c>
      <c r="E300" s="12" t="s">
        <v>174</v>
      </c>
      <c r="F300" s="11" t="s">
        <v>1343</v>
      </c>
      <c r="G300" s="13"/>
      <c r="H300" s="22">
        <v>0</v>
      </c>
      <c r="I300" s="9">
        <f t="shared" ca="1" si="9"/>
        <v>6.8757712019994921E-2</v>
      </c>
    </row>
    <row r="301" spans="1:9" ht="15.75" customHeight="1" x14ac:dyDescent="0.15">
      <c r="A301" s="10">
        <f t="shared" si="8"/>
        <v>300</v>
      </c>
      <c r="B301" s="11" t="s">
        <v>36</v>
      </c>
      <c r="C301" s="10" t="s">
        <v>21</v>
      </c>
      <c r="D301" s="12" t="s">
        <v>1344</v>
      </c>
      <c r="E301" s="13" t="s">
        <v>129</v>
      </c>
      <c r="F301" s="12" t="s">
        <v>1345</v>
      </c>
      <c r="G301" s="13"/>
      <c r="H301" s="22">
        <v>0</v>
      </c>
      <c r="I301" s="9">
        <f t="shared" ca="1" si="9"/>
        <v>0.16013908771868202</v>
      </c>
    </row>
    <row r="302" spans="1:9" ht="15.75" customHeight="1" x14ac:dyDescent="0.15">
      <c r="A302" s="10">
        <f t="shared" si="8"/>
        <v>301</v>
      </c>
      <c r="B302" s="12" t="s">
        <v>3253</v>
      </c>
      <c r="C302" s="10" t="s">
        <v>32</v>
      </c>
      <c r="D302" s="12" t="s">
        <v>1346</v>
      </c>
      <c r="E302" s="12" t="s">
        <v>286</v>
      </c>
      <c r="F302" s="11" t="s">
        <v>1347</v>
      </c>
      <c r="G302" s="13"/>
      <c r="H302" s="22">
        <v>0</v>
      </c>
      <c r="I302" s="9">
        <f t="shared" ca="1" si="9"/>
        <v>0.11637011384988161</v>
      </c>
    </row>
    <row r="303" spans="1:9" ht="15.75" customHeight="1" x14ac:dyDescent="0.15">
      <c r="A303" s="10">
        <f t="shared" si="8"/>
        <v>302</v>
      </c>
      <c r="B303" s="11" t="s">
        <v>36</v>
      </c>
      <c r="C303" s="10" t="s">
        <v>27</v>
      </c>
      <c r="D303" s="11" t="s">
        <v>1348</v>
      </c>
      <c r="E303" s="15">
        <v>1.33</v>
      </c>
      <c r="F303" s="11" t="s">
        <v>1349</v>
      </c>
      <c r="G303" s="13"/>
      <c r="H303" s="14">
        <v>1</v>
      </c>
      <c r="I303" s="9">
        <f t="shared" ca="1" si="9"/>
        <v>0.95032518342361127</v>
      </c>
    </row>
    <row r="304" spans="1:9" ht="15.75" customHeight="1" x14ac:dyDescent="0.15">
      <c r="A304" s="10">
        <f t="shared" si="8"/>
        <v>303</v>
      </c>
      <c r="B304" s="10" t="s">
        <v>20</v>
      </c>
      <c r="C304" s="10" t="s">
        <v>27</v>
      </c>
      <c r="D304" s="11" t="s">
        <v>1350</v>
      </c>
      <c r="E304" s="11" t="s">
        <v>1351</v>
      </c>
      <c r="F304" s="11" t="s">
        <v>1352</v>
      </c>
      <c r="G304" s="13"/>
      <c r="H304" s="22">
        <v>0</v>
      </c>
      <c r="I304" s="9">
        <f t="shared" ca="1" si="9"/>
        <v>0.69618771129763579</v>
      </c>
    </row>
    <row r="305" spans="1:9" ht="15.75" hidden="1" customHeight="1" x14ac:dyDescent="0.15">
      <c r="A305" s="10">
        <f t="shared" si="8"/>
        <v>304</v>
      </c>
      <c r="B305" s="10" t="s">
        <v>20</v>
      </c>
      <c r="C305" s="10" t="s">
        <v>16</v>
      </c>
      <c r="D305" s="11" t="s">
        <v>1353</v>
      </c>
      <c r="E305" s="13" t="s">
        <v>127</v>
      </c>
      <c r="F305" s="11" t="s">
        <v>1354</v>
      </c>
      <c r="G305" s="13"/>
      <c r="H305" s="22">
        <v>0</v>
      </c>
      <c r="I305" s="9">
        <f t="shared" ca="1" si="9"/>
        <v>0.35037986106035079</v>
      </c>
    </row>
    <row r="306" spans="1:9" ht="15.75" customHeight="1" x14ac:dyDescent="0.15">
      <c r="A306" s="10">
        <f t="shared" si="8"/>
        <v>305</v>
      </c>
      <c r="B306" s="12" t="s">
        <v>1266</v>
      </c>
      <c r="C306" s="10" t="s">
        <v>27</v>
      </c>
      <c r="D306" s="12" t="s">
        <v>1355</v>
      </c>
      <c r="E306" s="12" t="s">
        <v>1356</v>
      </c>
      <c r="F306" s="12" t="s">
        <v>1357</v>
      </c>
      <c r="G306" s="13"/>
      <c r="H306" s="22">
        <v>0</v>
      </c>
      <c r="I306" s="9">
        <f t="shared" ca="1" si="9"/>
        <v>0.9603483270292843</v>
      </c>
    </row>
    <row r="307" spans="1:9" ht="15.75" customHeight="1" x14ac:dyDescent="0.15">
      <c r="A307" s="10">
        <f t="shared" si="8"/>
        <v>306</v>
      </c>
      <c r="B307" s="11" t="s">
        <v>36</v>
      </c>
      <c r="C307" s="10" t="s">
        <v>21</v>
      </c>
      <c r="D307" s="12" t="s">
        <v>1358</v>
      </c>
      <c r="E307" s="13" t="s">
        <v>241</v>
      </c>
      <c r="F307" s="12" t="s">
        <v>1359</v>
      </c>
      <c r="G307" s="13"/>
      <c r="H307" s="22">
        <v>0</v>
      </c>
      <c r="I307" s="9">
        <f t="shared" ca="1" si="9"/>
        <v>0.93804924912220322</v>
      </c>
    </row>
    <row r="308" spans="1:9" ht="15.75" customHeight="1" x14ac:dyDescent="0.15">
      <c r="A308" s="10">
        <f t="shared" si="8"/>
        <v>307</v>
      </c>
      <c r="B308" s="11" t="s">
        <v>31</v>
      </c>
      <c r="C308" s="10" t="s">
        <v>21</v>
      </c>
      <c r="D308" s="12" t="s">
        <v>1360</v>
      </c>
      <c r="E308" s="13" t="s">
        <v>1361</v>
      </c>
      <c r="F308" s="12" t="s">
        <v>1362</v>
      </c>
      <c r="G308" s="13"/>
      <c r="H308" s="22">
        <v>0</v>
      </c>
      <c r="I308" s="9">
        <f t="shared" ca="1" si="9"/>
        <v>0.77276810677093744</v>
      </c>
    </row>
    <row r="309" spans="1:9" ht="15.75" customHeight="1" x14ac:dyDescent="0.15">
      <c r="A309" s="10">
        <f t="shared" si="8"/>
        <v>308</v>
      </c>
      <c r="B309" s="10" t="s">
        <v>20</v>
      </c>
      <c r="C309" s="10" t="s">
        <v>27</v>
      </c>
      <c r="D309" s="12" t="s">
        <v>1363</v>
      </c>
      <c r="E309" s="11" t="s">
        <v>1364</v>
      </c>
      <c r="F309" s="12" t="s">
        <v>1365</v>
      </c>
      <c r="G309" s="13"/>
      <c r="H309" s="22">
        <v>0</v>
      </c>
      <c r="I309" s="9">
        <f t="shared" ca="1" si="9"/>
        <v>0.40370922874334558</v>
      </c>
    </row>
    <row r="310" spans="1:9" ht="15.75" customHeight="1" x14ac:dyDescent="0.15">
      <c r="A310" s="10">
        <f t="shared" si="8"/>
        <v>309</v>
      </c>
      <c r="B310" s="12" t="s">
        <v>3253</v>
      </c>
      <c r="C310" s="10" t="s">
        <v>21</v>
      </c>
      <c r="D310" s="12" t="s">
        <v>1366</v>
      </c>
      <c r="E310" s="13" t="s">
        <v>129</v>
      </c>
      <c r="F310" s="12" t="s">
        <v>1367</v>
      </c>
      <c r="G310" s="13"/>
      <c r="H310" s="22">
        <v>0</v>
      </c>
      <c r="I310" s="9">
        <f t="shared" ca="1" si="9"/>
        <v>0.6686827469661587</v>
      </c>
    </row>
    <row r="311" spans="1:9" ht="15.75" customHeight="1" x14ac:dyDescent="0.15">
      <c r="A311" s="10">
        <f t="shared" si="8"/>
        <v>310</v>
      </c>
      <c r="B311" s="12" t="s">
        <v>1266</v>
      </c>
      <c r="C311" s="10" t="s">
        <v>21</v>
      </c>
      <c r="D311" s="12" t="s">
        <v>1368</v>
      </c>
      <c r="E311" s="13" t="s">
        <v>620</v>
      </c>
      <c r="F311" s="12" t="s">
        <v>1369</v>
      </c>
      <c r="G311" s="13"/>
      <c r="H311" s="22">
        <v>0</v>
      </c>
      <c r="I311" s="9">
        <f t="shared" ca="1" si="9"/>
        <v>0.43364929128154384</v>
      </c>
    </row>
    <row r="312" spans="1:9" ht="15.75" customHeight="1" x14ac:dyDescent="0.15">
      <c r="A312" s="10">
        <f t="shared" si="8"/>
        <v>311</v>
      </c>
      <c r="B312" s="11" t="s">
        <v>36</v>
      </c>
      <c r="C312" s="10" t="s">
        <v>32</v>
      </c>
      <c r="D312" s="11" t="s">
        <v>1370</v>
      </c>
      <c r="E312" s="12" t="s">
        <v>174</v>
      </c>
      <c r="F312" s="11" t="s">
        <v>1371</v>
      </c>
      <c r="G312" s="13"/>
      <c r="H312" s="22">
        <v>0</v>
      </c>
      <c r="I312" s="9">
        <f t="shared" ca="1" si="9"/>
        <v>0.25221566283887153</v>
      </c>
    </row>
    <row r="313" spans="1:9" ht="15.75" customHeight="1" x14ac:dyDescent="0.15">
      <c r="A313" s="10">
        <f t="shared" si="8"/>
        <v>312</v>
      </c>
      <c r="B313" s="10" t="s">
        <v>20</v>
      </c>
      <c r="C313" s="10" t="s">
        <v>27</v>
      </c>
      <c r="D313" s="12" t="s">
        <v>1372</v>
      </c>
      <c r="E313" s="12" t="s">
        <v>1373</v>
      </c>
      <c r="F313" s="12" t="s">
        <v>1374</v>
      </c>
      <c r="G313" s="13"/>
      <c r="H313" s="22">
        <v>0</v>
      </c>
      <c r="I313" s="9">
        <f t="shared" ca="1" si="9"/>
        <v>0.15130015394780816</v>
      </c>
    </row>
    <row r="314" spans="1:9" ht="15.75" customHeight="1" x14ac:dyDescent="0.15">
      <c r="A314" s="10">
        <f t="shared" si="8"/>
        <v>313</v>
      </c>
      <c r="B314" s="11" t="s">
        <v>36</v>
      </c>
      <c r="C314" s="10" t="s">
        <v>32</v>
      </c>
      <c r="D314" s="11" t="s">
        <v>1375</v>
      </c>
      <c r="E314" s="12" t="s">
        <v>174</v>
      </c>
      <c r="F314" s="11" t="s">
        <v>1376</v>
      </c>
      <c r="G314" s="13"/>
      <c r="H314" s="22">
        <v>0</v>
      </c>
      <c r="I314" s="9">
        <f t="shared" ca="1" si="9"/>
        <v>0.21293587885718901</v>
      </c>
    </row>
    <row r="315" spans="1:9" ht="15.75" customHeight="1" x14ac:dyDescent="0.15">
      <c r="A315" s="10">
        <f t="shared" si="8"/>
        <v>314</v>
      </c>
      <c r="B315" s="12" t="s">
        <v>3253</v>
      </c>
      <c r="C315" s="10" t="s">
        <v>32</v>
      </c>
      <c r="D315" s="11" t="s">
        <v>1377</v>
      </c>
      <c r="E315" s="12" t="s">
        <v>174</v>
      </c>
      <c r="F315" s="11" t="s">
        <v>1378</v>
      </c>
      <c r="G315" s="13"/>
      <c r="H315" s="22">
        <v>0</v>
      </c>
      <c r="I315" s="9">
        <f t="shared" ca="1" si="9"/>
        <v>0.96389537940783643</v>
      </c>
    </row>
    <row r="316" spans="1:9" ht="15.75" customHeight="1" x14ac:dyDescent="0.15">
      <c r="A316" s="10">
        <f t="shared" si="8"/>
        <v>315</v>
      </c>
      <c r="B316" s="10" t="s">
        <v>20</v>
      </c>
      <c r="C316" s="10" t="s">
        <v>27</v>
      </c>
      <c r="D316" s="11" t="s">
        <v>1379</v>
      </c>
      <c r="E316" s="15">
        <v>2500000</v>
      </c>
      <c r="F316" s="11" t="s">
        <v>1380</v>
      </c>
      <c r="G316" s="13"/>
      <c r="H316" s="14">
        <v>1</v>
      </c>
      <c r="I316" s="9">
        <f t="shared" ca="1" si="9"/>
        <v>0.12602033802337509</v>
      </c>
    </row>
    <row r="317" spans="1:9" ht="15.75" customHeight="1" x14ac:dyDescent="0.15">
      <c r="A317" s="10">
        <f t="shared" si="8"/>
        <v>316</v>
      </c>
      <c r="B317" s="11" t="s">
        <v>31</v>
      </c>
      <c r="C317" s="10" t="s">
        <v>32</v>
      </c>
      <c r="D317" s="11" t="s">
        <v>1381</v>
      </c>
      <c r="E317" s="12" t="s">
        <v>286</v>
      </c>
      <c r="F317" s="11" t="s">
        <v>1382</v>
      </c>
      <c r="G317" s="13"/>
      <c r="H317" s="22">
        <v>0</v>
      </c>
      <c r="I317" s="9">
        <f t="shared" ca="1" si="9"/>
        <v>0.14666296207609786</v>
      </c>
    </row>
    <row r="318" spans="1:9" ht="15.75" customHeight="1" x14ac:dyDescent="0.15">
      <c r="A318" s="10">
        <f t="shared" si="8"/>
        <v>317</v>
      </c>
      <c r="B318" s="11" t="s">
        <v>31</v>
      </c>
      <c r="C318" s="10" t="s">
        <v>21</v>
      </c>
      <c r="D318" s="12" t="s">
        <v>1383</v>
      </c>
      <c r="E318" s="13" t="s">
        <v>241</v>
      </c>
      <c r="F318" s="12" t="s">
        <v>1384</v>
      </c>
      <c r="G318" s="13"/>
      <c r="H318" s="22">
        <v>0</v>
      </c>
      <c r="I318" s="9">
        <f t="shared" ca="1" si="9"/>
        <v>0.26667206620229</v>
      </c>
    </row>
    <row r="319" spans="1:9" ht="15.75" customHeight="1" x14ac:dyDescent="0.15">
      <c r="A319" s="10">
        <f t="shared" si="8"/>
        <v>318</v>
      </c>
      <c r="B319" s="12" t="s">
        <v>3253</v>
      </c>
      <c r="C319" s="10" t="s">
        <v>27</v>
      </c>
      <c r="D319" s="12" t="s">
        <v>1385</v>
      </c>
      <c r="E319" s="12" t="s">
        <v>1386</v>
      </c>
      <c r="F319" s="12" t="s">
        <v>1387</v>
      </c>
      <c r="G319" s="13"/>
      <c r="H319" s="22">
        <v>0</v>
      </c>
      <c r="I319" s="9">
        <f t="shared" ca="1" si="9"/>
        <v>0.95112887888095188</v>
      </c>
    </row>
    <row r="320" spans="1:9" ht="15.75" customHeight="1" x14ac:dyDescent="0.15">
      <c r="A320" s="10">
        <f t="shared" si="8"/>
        <v>319</v>
      </c>
      <c r="B320" s="10" t="s">
        <v>20</v>
      </c>
      <c r="C320" s="10" t="s">
        <v>27</v>
      </c>
      <c r="D320" s="11" t="s">
        <v>1388</v>
      </c>
      <c r="E320" s="15">
        <v>3</v>
      </c>
      <c r="F320" s="11" t="s">
        <v>1389</v>
      </c>
      <c r="G320" s="13"/>
      <c r="H320" s="14">
        <v>1</v>
      </c>
      <c r="I320" s="9">
        <f t="shared" ca="1" si="9"/>
        <v>0.94547876591902846</v>
      </c>
    </row>
    <row r="321" spans="1:9" ht="15.75" customHeight="1" x14ac:dyDescent="0.15">
      <c r="A321" s="10">
        <f t="shared" si="8"/>
        <v>320</v>
      </c>
      <c r="B321" s="11" t="s">
        <v>36</v>
      </c>
      <c r="C321" s="10" t="s">
        <v>32</v>
      </c>
      <c r="D321" s="11" t="s">
        <v>1390</v>
      </c>
      <c r="E321" s="12" t="s">
        <v>174</v>
      </c>
      <c r="F321" s="11" t="s">
        <v>1391</v>
      </c>
      <c r="G321" s="13"/>
      <c r="H321" s="22">
        <v>0</v>
      </c>
      <c r="I321" s="9">
        <f t="shared" ca="1" si="9"/>
        <v>0.33944973464108719</v>
      </c>
    </row>
    <row r="322" spans="1:9" ht="15.75" hidden="1" customHeight="1" x14ac:dyDescent="0.15">
      <c r="A322" s="10">
        <f t="shared" si="8"/>
        <v>321</v>
      </c>
      <c r="B322" s="10" t="s">
        <v>20</v>
      </c>
      <c r="C322" s="10" t="s">
        <v>16</v>
      </c>
      <c r="D322" s="11" t="s">
        <v>1392</v>
      </c>
      <c r="E322" s="13" t="s">
        <v>106</v>
      </c>
      <c r="F322" s="11" t="s">
        <v>1393</v>
      </c>
      <c r="G322" s="13"/>
      <c r="H322" s="14">
        <v>1</v>
      </c>
      <c r="I322" s="9">
        <f t="shared" ca="1" si="9"/>
        <v>0.87696124397702413</v>
      </c>
    </row>
    <row r="323" spans="1:9" ht="15.75" hidden="1" customHeight="1" x14ac:dyDescent="0.15">
      <c r="A323" s="10">
        <f t="shared" ref="A323:A386" si="10">ROW() - 1</f>
        <v>322</v>
      </c>
      <c r="B323" s="11" t="s">
        <v>36</v>
      </c>
      <c r="C323" s="10" t="s">
        <v>11</v>
      </c>
      <c r="D323" s="11" t="s">
        <v>1394</v>
      </c>
      <c r="E323" s="12" t="s">
        <v>1395</v>
      </c>
      <c r="F323" s="11" t="s">
        <v>1396</v>
      </c>
      <c r="G323" s="13"/>
      <c r="H323" s="22">
        <v>0</v>
      </c>
      <c r="I323" s="9">
        <f t="shared" ca="1" si="9"/>
        <v>0.39605770388829398</v>
      </c>
    </row>
    <row r="324" spans="1:9" ht="15.75" hidden="1" customHeight="1" x14ac:dyDescent="0.15">
      <c r="A324" s="10">
        <f t="shared" si="10"/>
        <v>323</v>
      </c>
      <c r="B324" s="11" t="s">
        <v>31</v>
      </c>
      <c r="C324" s="10" t="s">
        <v>16</v>
      </c>
      <c r="D324" s="12" t="s">
        <v>1397</v>
      </c>
      <c r="E324" s="13" t="s">
        <v>98</v>
      </c>
      <c r="F324" s="12" t="s">
        <v>1398</v>
      </c>
      <c r="G324" s="13"/>
      <c r="H324" s="22">
        <v>0</v>
      </c>
      <c r="I324" s="9">
        <f t="shared" ref="I324:I387" ca="1" si="11">RAND()</f>
        <v>0.36675850508204877</v>
      </c>
    </row>
    <row r="325" spans="1:9" ht="15.75" customHeight="1" x14ac:dyDescent="0.15">
      <c r="A325" s="10">
        <f t="shared" si="10"/>
        <v>324</v>
      </c>
      <c r="B325" s="11" t="s">
        <v>36</v>
      </c>
      <c r="C325" s="10" t="s">
        <v>21</v>
      </c>
      <c r="D325" s="11" t="s">
        <v>1399</v>
      </c>
      <c r="E325" s="13" t="s">
        <v>136</v>
      </c>
      <c r="F325" s="11" t="s">
        <v>1400</v>
      </c>
      <c r="G325" s="13"/>
      <c r="H325" s="22">
        <v>0</v>
      </c>
      <c r="I325" s="9">
        <f t="shared" ca="1" si="11"/>
        <v>1.2277493916258875E-2</v>
      </c>
    </row>
    <row r="326" spans="1:9" ht="15.75" customHeight="1" x14ac:dyDescent="0.15">
      <c r="A326" s="10">
        <f t="shared" si="10"/>
        <v>325</v>
      </c>
      <c r="B326" s="11" t="s">
        <v>36</v>
      </c>
      <c r="C326" s="10" t="s">
        <v>21</v>
      </c>
      <c r="D326" s="11" t="s">
        <v>1401</v>
      </c>
      <c r="E326" s="13" t="s">
        <v>1187</v>
      </c>
      <c r="F326" s="12" t="s">
        <v>1402</v>
      </c>
      <c r="G326" s="13"/>
      <c r="H326" s="22">
        <v>0</v>
      </c>
      <c r="I326" s="9">
        <f t="shared" ca="1" si="11"/>
        <v>0.84665794046645615</v>
      </c>
    </row>
    <row r="327" spans="1:9" ht="15.75" customHeight="1" x14ac:dyDescent="0.15">
      <c r="A327" s="10">
        <f t="shared" si="10"/>
        <v>326</v>
      </c>
      <c r="B327" s="11" t="s">
        <v>36</v>
      </c>
      <c r="C327" s="10" t="s">
        <v>21</v>
      </c>
      <c r="D327" s="11" t="s">
        <v>1403</v>
      </c>
      <c r="E327" s="13" t="s">
        <v>620</v>
      </c>
      <c r="F327" s="11" t="s">
        <v>1404</v>
      </c>
      <c r="G327" s="13"/>
      <c r="H327" s="22">
        <v>0</v>
      </c>
      <c r="I327" s="9">
        <f t="shared" ca="1" si="11"/>
        <v>0.43212183166593054</v>
      </c>
    </row>
    <row r="328" spans="1:9" ht="15.75" customHeight="1" x14ac:dyDescent="0.15">
      <c r="A328" s="10">
        <f t="shared" si="10"/>
        <v>327</v>
      </c>
      <c r="B328" s="12" t="s">
        <v>3253</v>
      </c>
      <c r="C328" s="10" t="s">
        <v>27</v>
      </c>
      <c r="D328" s="11" t="s">
        <v>1405</v>
      </c>
      <c r="E328" s="11" t="s">
        <v>1406</v>
      </c>
      <c r="F328" s="11" t="s">
        <v>1407</v>
      </c>
      <c r="G328" s="13"/>
      <c r="H328" s="22">
        <v>0</v>
      </c>
      <c r="I328" s="9">
        <f t="shared" ca="1" si="11"/>
        <v>0.26921984187064252</v>
      </c>
    </row>
    <row r="329" spans="1:9" ht="15.75" customHeight="1" x14ac:dyDescent="0.15">
      <c r="A329" s="10">
        <f t="shared" si="10"/>
        <v>328</v>
      </c>
      <c r="B329" s="11" t="s">
        <v>36</v>
      </c>
      <c r="C329" s="10" t="s">
        <v>32</v>
      </c>
      <c r="D329" s="11" t="s">
        <v>1408</v>
      </c>
      <c r="E329" s="12" t="s">
        <v>286</v>
      </c>
      <c r="F329" s="11" t="s">
        <v>1409</v>
      </c>
      <c r="G329" s="13"/>
      <c r="H329" s="22">
        <v>0</v>
      </c>
      <c r="I329" s="9">
        <f t="shared" ca="1" si="11"/>
        <v>9.2836121401843164E-2</v>
      </c>
    </row>
    <row r="330" spans="1:9" ht="15.75" hidden="1" customHeight="1" x14ac:dyDescent="0.15">
      <c r="A330" s="10">
        <f t="shared" si="10"/>
        <v>329</v>
      </c>
      <c r="B330" s="11" t="s">
        <v>31</v>
      </c>
      <c r="C330" s="10" t="s">
        <v>11</v>
      </c>
      <c r="D330" s="11" t="s">
        <v>1410</v>
      </c>
      <c r="E330" s="12" t="s">
        <v>1411</v>
      </c>
      <c r="F330" s="11" t="s">
        <v>1412</v>
      </c>
      <c r="G330" s="13"/>
      <c r="H330" s="22">
        <v>0</v>
      </c>
      <c r="I330" s="9">
        <f t="shared" ca="1" si="11"/>
        <v>0.64931534842172889</v>
      </c>
    </row>
    <row r="331" spans="1:9" ht="15.75" hidden="1" customHeight="1" x14ac:dyDescent="0.15">
      <c r="A331" s="10">
        <f t="shared" si="10"/>
        <v>330</v>
      </c>
      <c r="B331" s="12" t="s">
        <v>20</v>
      </c>
      <c r="C331" s="10" t="s">
        <v>16</v>
      </c>
      <c r="D331" s="12" t="s">
        <v>1413</v>
      </c>
      <c r="E331" s="13" t="s">
        <v>98</v>
      </c>
      <c r="F331" s="12" t="s">
        <v>1414</v>
      </c>
      <c r="G331" s="13"/>
      <c r="H331" s="22">
        <v>0</v>
      </c>
      <c r="I331" s="9">
        <f t="shared" ca="1" si="11"/>
        <v>9.7659741326431404E-2</v>
      </c>
    </row>
    <row r="332" spans="1:9" ht="15.75" customHeight="1" x14ac:dyDescent="0.15">
      <c r="A332" s="10">
        <f t="shared" si="10"/>
        <v>331</v>
      </c>
      <c r="B332" s="11" t="s">
        <v>31</v>
      </c>
      <c r="C332" s="10" t="s">
        <v>27</v>
      </c>
      <c r="D332" s="12" t="s">
        <v>1415</v>
      </c>
      <c r="E332" s="12" t="s">
        <v>1416</v>
      </c>
      <c r="F332" s="12" t="s">
        <v>1417</v>
      </c>
      <c r="G332" s="13"/>
      <c r="H332" s="22">
        <v>0</v>
      </c>
      <c r="I332" s="9">
        <f t="shared" ca="1" si="11"/>
        <v>0.5310226279362118</v>
      </c>
    </row>
    <row r="333" spans="1:9" ht="15.75" customHeight="1" x14ac:dyDescent="0.15">
      <c r="A333" s="10">
        <f t="shared" si="10"/>
        <v>332</v>
      </c>
      <c r="B333" s="10" t="s">
        <v>20</v>
      </c>
      <c r="C333" s="10" t="s">
        <v>32</v>
      </c>
      <c r="D333" s="11" t="s">
        <v>1418</v>
      </c>
      <c r="E333" s="12" t="s">
        <v>286</v>
      </c>
      <c r="F333" s="11" t="s">
        <v>1419</v>
      </c>
      <c r="G333" s="13"/>
      <c r="H333" s="22">
        <v>0</v>
      </c>
      <c r="I333" s="9">
        <f t="shared" ca="1" si="11"/>
        <v>0.72542146804967256</v>
      </c>
    </row>
    <row r="334" spans="1:9" ht="15.75" customHeight="1" x14ac:dyDescent="0.15">
      <c r="A334" s="10">
        <f t="shared" si="10"/>
        <v>333</v>
      </c>
      <c r="B334" s="11" t="s">
        <v>31</v>
      </c>
      <c r="C334" s="10" t="s">
        <v>27</v>
      </c>
      <c r="D334" s="12" t="s">
        <v>1420</v>
      </c>
      <c r="E334" s="12" t="s">
        <v>1421</v>
      </c>
      <c r="F334" s="12" t="s">
        <v>1422</v>
      </c>
      <c r="G334" s="13"/>
      <c r="H334" s="22">
        <v>0</v>
      </c>
      <c r="I334" s="9">
        <f t="shared" ca="1" si="11"/>
        <v>0.93153979352679284</v>
      </c>
    </row>
    <row r="335" spans="1:9" ht="15.75" customHeight="1" x14ac:dyDescent="0.15">
      <c r="A335" s="10">
        <f t="shared" si="10"/>
        <v>334</v>
      </c>
      <c r="B335" s="11" t="s">
        <v>36</v>
      </c>
      <c r="C335" s="10" t="s">
        <v>21</v>
      </c>
      <c r="D335" s="12" t="s">
        <v>1423</v>
      </c>
      <c r="E335" s="13" t="s">
        <v>136</v>
      </c>
      <c r="F335" s="12" t="s">
        <v>1424</v>
      </c>
      <c r="G335" s="13"/>
      <c r="H335" s="22">
        <v>0</v>
      </c>
      <c r="I335" s="9">
        <f t="shared" ca="1" si="11"/>
        <v>0.97072222284751331</v>
      </c>
    </row>
    <row r="336" spans="1:9" ht="15.75" customHeight="1" x14ac:dyDescent="0.15">
      <c r="A336" s="10">
        <f t="shared" si="10"/>
        <v>335</v>
      </c>
      <c r="B336" s="12" t="s">
        <v>3253</v>
      </c>
      <c r="C336" s="10" t="s">
        <v>32</v>
      </c>
      <c r="D336" s="11" t="s">
        <v>1425</v>
      </c>
      <c r="E336" s="12" t="s">
        <v>286</v>
      </c>
      <c r="F336" s="11" t="s">
        <v>1426</v>
      </c>
      <c r="G336" s="13"/>
      <c r="H336" s="22">
        <v>0</v>
      </c>
      <c r="I336" s="9">
        <f t="shared" ca="1" si="11"/>
        <v>0.9031385988720666</v>
      </c>
    </row>
    <row r="337" spans="1:9" ht="15.75" customHeight="1" x14ac:dyDescent="0.15">
      <c r="A337" s="10">
        <f t="shared" si="10"/>
        <v>336</v>
      </c>
      <c r="B337" s="11" t="s">
        <v>31</v>
      </c>
      <c r="C337" s="10" t="s">
        <v>21</v>
      </c>
      <c r="D337" s="12" t="s">
        <v>1427</v>
      </c>
      <c r="E337" s="13" t="s">
        <v>601</v>
      </c>
      <c r="F337" s="12" t="s">
        <v>1428</v>
      </c>
      <c r="G337" s="13"/>
      <c r="H337" s="22">
        <v>0</v>
      </c>
      <c r="I337" s="9">
        <f t="shared" ca="1" si="11"/>
        <v>0.46577517126612944</v>
      </c>
    </row>
    <row r="338" spans="1:9" ht="15.75" customHeight="1" x14ac:dyDescent="0.15">
      <c r="A338" s="10">
        <f t="shared" si="10"/>
        <v>337</v>
      </c>
      <c r="B338" s="12" t="s">
        <v>1266</v>
      </c>
      <c r="C338" s="10" t="s">
        <v>32</v>
      </c>
      <c r="D338" s="11" t="s">
        <v>1429</v>
      </c>
      <c r="E338" s="12" t="s">
        <v>286</v>
      </c>
      <c r="F338" s="11" t="s">
        <v>1430</v>
      </c>
      <c r="G338" s="13"/>
      <c r="H338" s="22">
        <v>0</v>
      </c>
      <c r="I338" s="9">
        <f t="shared" ca="1" si="11"/>
        <v>0.93711422242939291</v>
      </c>
    </row>
    <row r="339" spans="1:9" ht="15.75" hidden="1" customHeight="1" x14ac:dyDescent="0.15">
      <c r="A339" s="10">
        <f t="shared" si="10"/>
        <v>338</v>
      </c>
      <c r="B339" s="11" t="s">
        <v>31</v>
      </c>
      <c r="C339" s="10" t="s">
        <v>16</v>
      </c>
      <c r="D339" s="11" t="s">
        <v>1431</v>
      </c>
      <c r="E339" s="13" t="s">
        <v>106</v>
      </c>
      <c r="F339" s="11" t="s">
        <v>1432</v>
      </c>
      <c r="G339" s="13"/>
      <c r="H339" s="22">
        <v>0</v>
      </c>
      <c r="I339" s="9">
        <f t="shared" ca="1" si="11"/>
        <v>0.80265908428316268</v>
      </c>
    </row>
    <row r="340" spans="1:9" ht="15.75" hidden="1" customHeight="1" x14ac:dyDescent="0.15">
      <c r="A340" s="10">
        <f t="shared" si="10"/>
        <v>339</v>
      </c>
      <c r="B340" s="11" t="s">
        <v>36</v>
      </c>
      <c r="C340" s="10" t="s">
        <v>16</v>
      </c>
      <c r="D340" s="12" t="s">
        <v>1433</v>
      </c>
      <c r="E340" s="13" t="s">
        <v>98</v>
      </c>
      <c r="F340" s="12" t="s">
        <v>1434</v>
      </c>
      <c r="G340" s="13"/>
      <c r="H340" s="22">
        <v>0</v>
      </c>
      <c r="I340" s="9">
        <f t="shared" ca="1" si="11"/>
        <v>0.41478707193009479</v>
      </c>
    </row>
    <row r="341" spans="1:9" ht="15.75" hidden="1" customHeight="1" x14ac:dyDescent="0.15">
      <c r="A341" s="10">
        <f t="shared" si="10"/>
        <v>340</v>
      </c>
      <c r="B341" s="10" t="s">
        <v>20</v>
      </c>
      <c r="C341" s="10" t="s">
        <v>16</v>
      </c>
      <c r="D341" s="11" t="s">
        <v>1435</v>
      </c>
      <c r="E341" s="17" t="s">
        <v>106</v>
      </c>
      <c r="F341" s="11" t="s">
        <v>1436</v>
      </c>
      <c r="G341" s="13"/>
      <c r="H341" s="22">
        <v>0</v>
      </c>
      <c r="I341" s="9">
        <f t="shared" ca="1" si="11"/>
        <v>0.41638677485838882</v>
      </c>
    </row>
    <row r="342" spans="1:9" ht="15.75" customHeight="1" x14ac:dyDescent="0.15">
      <c r="A342" s="10">
        <f t="shared" si="10"/>
        <v>341</v>
      </c>
      <c r="B342" s="12" t="s">
        <v>3253</v>
      </c>
      <c r="C342" s="10" t="s">
        <v>32</v>
      </c>
      <c r="D342" s="12" t="s">
        <v>1437</v>
      </c>
      <c r="E342" s="12" t="s">
        <v>174</v>
      </c>
      <c r="F342" s="11" t="s">
        <v>1438</v>
      </c>
      <c r="G342" s="13"/>
      <c r="H342" s="22">
        <v>0</v>
      </c>
      <c r="I342" s="9">
        <f t="shared" ca="1" si="11"/>
        <v>0.82257905699100919</v>
      </c>
    </row>
    <row r="343" spans="1:9" ht="15.75" customHeight="1" x14ac:dyDescent="0.15">
      <c r="A343" s="10">
        <f t="shared" si="10"/>
        <v>342</v>
      </c>
      <c r="B343" s="11" t="s">
        <v>31</v>
      </c>
      <c r="C343" s="10" t="s">
        <v>27</v>
      </c>
      <c r="D343" s="12" t="s">
        <v>1439</v>
      </c>
      <c r="E343" s="12" t="s">
        <v>1440</v>
      </c>
      <c r="F343" s="12" t="s">
        <v>1441</v>
      </c>
      <c r="G343" s="13"/>
      <c r="H343" s="22">
        <v>0</v>
      </c>
      <c r="I343" s="9">
        <f t="shared" ca="1" si="11"/>
        <v>0.36175291394091891</v>
      </c>
    </row>
    <row r="344" spans="1:9" ht="15.75" customHeight="1" x14ac:dyDescent="0.15">
      <c r="A344" s="10">
        <f t="shared" si="10"/>
        <v>343</v>
      </c>
      <c r="B344" s="11" t="s">
        <v>36</v>
      </c>
      <c r="C344" s="10" t="s">
        <v>27</v>
      </c>
      <c r="D344" s="12" t="s">
        <v>1442</v>
      </c>
      <c r="E344" s="12" t="s">
        <v>1443</v>
      </c>
      <c r="F344" s="12" t="s">
        <v>1444</v>
      </c>
      <c r="G344" s="13"/>
      <c r="H344" s="22">
        <v>0</v>
      </c>
      <c r="I344" s="9">
        <f t="shared" ca="1" si="11"/>
        <v>6.5829721722032719E-3</v>
      </c>
    </row>
    <row r="345" spans="1:9" ht="15.75" hidden="1" customHeight="1" x14ac:dyDescent="0.15">
      <c r="A345" s="10">
        <f t="shared" si="10"/>
        <v>344</v>
      </c>
      <c r="B345" s="12" t="s">
        <v>20</v>
      </c>
      <c r="C345" s="10" t="s">
        <v>16</v>
      </c>
      <c r="D345" s="12" t="s">
        <v>1445</v>
      </c>
      <c r="E345" s="13" t="s">
        <v>127</v>
      </c>
      <c r="F345" s="11" t="s">
        <v>1446</v>
      </c>
      <c r="G345" s="13"/>
      <c r="H345" s="22">
        <v>0</v>
      </c>
      <c r="I345" s="9">
        <f t="shared" ca="1" si="11"/>
        <v>0.28469960445285691</v>
      </c>
    </row>
    <row r="346" spans="1:9" ht="15.75" customHeight="1" x14ac:dyDescent="0.15">
      <c r="A346" s="10">
        <f t="shared" si="10"/>
        <v>345</v>
      </c>
      <c r="B346" s="12" t="s">
        <v>1266</v>
      </c>
      <c r="C346" s="10" t="s">
        <v>32</v>
      </c>
      <c r="D346" s="11" t="s">
        <v>1447</v>
      </c>
      <c r="E346" s="12" t="s">
        <v>174</v>
      </c>
      <c r="F346" s="11" t="s">
        <v>1448</v>
      </c>
      <c r="G346" s="13"/>
      <c r="H346" s="22">
        <v>0</v>
      </c>
      <c r="I346" s="9">
        <f t="shared" ca="1" si="11"/>
        <v>0.71015998542345793</v>
      </c>
    </row>
    <row r="347" spans="1:9" ht="15.75" customHeight="1" x14ac:dyDescent="0.15">
      <c r="A347" s="10">
        <f t="shared" si="10"/>
        <v>346</v>
      </c>
      <c r="B347" s="10" t="s">
        <v>20</v>
      </c>
      <c r="C347" s="10" t="s">
        <v>21</v>
      </c>
      <c r="D347" s="12" t="s">
        <v>1449</v>
      </c>
      <c r="E347" s="13" t="s">
        <v>1361</v>
      </c>
      <c r="F347" s="12" t="s">
        <v>1450</v>
      </c>
      <c r="G347" s="13"/>
      <c r="H347" s="22">
        <v>0</v>
      </c>
      <c r="I347" s="9">
        <f t="shared" ca="1" si="11"/>
        <v>0.78156833297929296</v>
      </c>
    </row>
    <row r="348" spans="1:9" ht="15.75" customHeight="1" x14ac:dyDescent="0.15">
      <c r="A348" s="10">
        <f t="shared" si="10"/>
        <v>347</v>
      </c>
      <c r="B348" s="12" t="s">
        <v>3253</v>
      </c>
      <c r="C348" s="10" t="s">
        <v>27</v>
      </c>
      <c r="D348" s="12" t="s">
        <v>1451</v>
      </c>
      <c r="E348" s="12" t="s">
        <v>1452</v>
      </c>
      <c r="F348" s="12" t="s">
        <v>1453</v>
      </c>
      <c r="G348" s="13"/>
      <c r="H348" s="22">
        <v>0</v>
      </c>
      <c r="I348" s="9">
        <f t="shared" ca="1" si="11"/>
        <v>0.49466978387404004</v>
      </c>
    </row>
    <row r="349" spans="1:9" ht="15.75" hidden="1" customHeight="1" x14ac:dyDescent="0.15">
      <c r="A349" s="10">
        <f t="shared" si="10"/>
        <v>348</v>
      </c>
      <c r="B349" s="12" t="s">
        <v>1266</v>
      </c>
      <c r="C349" s="10" t="s">
        <v>16</v>
      </c>
      <c r="D349" s="11" t="s">
        <v>1454</v>
      </c>
      <c r="E349" s="13" t="s">
        <v>106</v>
      </c>
      <c r="F349" s="12" t="s">
        <v>1455</v>
      </c>
      <c r="G349" s="13"/>
      <c r="H349" s="14">
        <v>1</v>
      </c>
      <c r="I349" s="9">
        <f t="shared" ca="1" si="11"/>
        <v>0.45909067232998502</v>
      </c>
    </row>
    <row r="350" spans="1:9" ht="15.75" customHeight="1" x14ac:dyDescent="0.15">
      <c r="A350" s="10">
        <f t="shared" si="10"/>
        <v>349</v>
      </c>
      <c r="B350" s="12" t="s">
        <v>3253</v>
      </c>
      <c r="C350" s="10" t="s">
        <v>21</v>
      </c>
      <c r="D350" s="11" t="s">
        <v>1456</v>
      </c>
      <c r="E350" s="13" t="s">
        <v>1187</v>
      </c>
      <c r="F350" s="12" t="s">
        <v>1457</v>
      </c>
      <c r="G350" s="13"/>
      <c r="H350" s="22">
        <v>0</v>
      </c>
      <c r="I350" s="9">
        <f t="shared" ca="1" si="11"/>
        <v>0.29792299551498436</v>
      </c>
    </row>
    <row r="351" spans="1:9" ht="15.75" hidden="1" customHeight="1" x14ac:dyDescent="0.15">
      <c r="A351" s="10">
        <f t="shared" si="10"/>
        <v>350</v>
      </c>
      <c r="B351" s="11" t="s">
        <v>36</v>
      </c>
      <c r="C351" s="10" t="s">
        <v>16</v>
      </c>
      <c r="D351" s="11" t="s">
        <v>1458</v>
      </c>
      <c r="E351" s="13" t="s">
        <v>159</v>
      </c>
      <c r="F351" s="11" t="s">
        <v>1459</v>
      </c>
      <c r="G351" s="13"/>
      <c r="H351" s="14">
        <v>1</v>
      </c>
      <c r="I351" s="9">
        <f t="shared" ca="1" si="11"/>
        <v>0.30455915102185138</v>
      </c>
    </row>
    <row r="352" spans="1:9" ht="15.75" customHeight="1" x14ac:dyDescent="0.15">
      <c r="A352" s="10">
        <f t="shared" si="10"/>
        <v>351</v>
      </c>
      <c r="B352" s="10" t="s">
        <v>20</v>
      </c>
      <c r="C352" s="10" t="s">
        <v>27</v>
      </c>
      <c r="D352" s="11" t="s">
        <v>1460</v>
      </c>
      <c r="E352" s="11" t="s">
        <v>1461</v>
      </c>
      <c r="F352" s="11" t="s">
        <v>1462</v>
      </c>
      <c r="G352" s="13"/>
      <c r="H352" s="22">
        <v>0</v>
      </c>
      <c r="I352" s="9">
        <f t="shared" ca="1" si="11"/>
        <v>0.48037261054507274</v>
      </c>
    </row>
    <row r="353" spans="1:9" ht="15.75" customHeight="1" x14ac:dyDescent="0.15">
      <c r="A353" s="10">
        <f t="shared" si="10"/>
        <v>352</v>
      </c>
      <c r="B353" s="11" t="s">
        <v>36</v>
      </c>
      <c r="C353" s="10" t="s">
        <v>27</v>
      </c>
      <c r="D353" s="11" t="s">
        <v>1463</v>
      </c>
      <c r="E353" s="11" t="s">
        <v>1464</v>
      </c>
      <c r="F353" s="11" t="s">
        <v>1465</v>
      </c>
      <c r="G353" s="13"/>
      <c r="H353" s="22">
        <v>0</v>
      </c>
      <c r="I353" s="9">
        <f t="shared" ca="1" si="11"/>
        <v>0.813927200846287</v>
      </c>
    </row>
    <row r="354" spans="1:9" ht="15.75" customHeight="1" x14ac:dyDescent="0.15">
      <c r="A354" s="10">
        <f t="shared" si="10"/>
        <v>353</v>
      </c>
      <c r="B354" s="10" t="s">
        <v>20</v>
      </c>
      <c r="C354" s="10" t="s">
        <v>32</v>
      </c>
      <c r="D354" s="11" t="s">
        <v>1466</v>
      </c>
      <c r="E354" s="12" t="s">
        <v>286</v>
      </c>
      <c r="F354" s="11" t="s">
        <v>1467</v>
      </c>
      <c r="G354" s="13"/>
      <c r="H354" s="22">
        <v>0</v>
      </c>
      <c r="I354" s="9">
        <f t="shared" ca="1" si="11"/>
        <v>0.78474610222424024</v>
      </c>
    </row>
    <row r="355" spans="1:9" ht="15.75" customHeight="1" x14ac:dyDescent="0.15">
      <c r="A355" s="10">
        <f t="shared" si="10"/>
        <v>354</v>
      </c>
      <c r="B355" s="12" t="s">
        <v>3253</v>
      </c>
      <c r="C355" s="10" t="s">
        <v>27</v>
      </c>
      <c r="D355" s="11" t="s">
        <v>1468</v>
      </c>
      <c r="E355" s="12" t="s">
        <v>1469</v>
      </c>
      <c r="F355" s="12" t="s">
        <v>1470</v>
      </c>
      <c r="G355" s="13"/>
      <c r="H355" s="22">
        <v>0</v>
      </c>
      <c r="I355" s="9">
        <f t="shared" ca="1" si="11"/>
        <v>0.85862024254775393</v>
      </c>
    </row>
    <row r="356" spans="1:9" ht="15.75" hidden="1" customHeight="1" x14ac:dyDescent="0.15">
      <c r="A356" s="10">
        <f t="shared" si="10"/>
        <v>355</v>
      </c>
      <c r="B356" s="12" t="s">
        <v>1266</v>
      </c>
      <c r="C356" s="10" t="s">
        <v>16</v>
      </c>
      <c r="D356" s="11" t="s">
        <v>1471</v>
      </c>
      <c r="E356" s="13" t="s">
        <v>159</v>
      </c>
      <c r="F356" s="12" t="s">
        <v>1472</v>
      </c>
      <c r="G356" s="13"/>
      <c r="H356" s="14">
        <v>1</v>
      </c>
      <c r="I356" s="9">
        <f t="shared" ca="1" si="11"/>
        <v>0.35539956602974065</v>
      </c>
    </row>
    <row r="357" spans="1:9" ht="15.75" customHeight="1" x14ac:dyDescent="0.15">
      <c r="A357" s="10">
        <f t="shared" si="10"/>
        <v>356</v>
      </c>
      <c r="B357" s="12" t="s">
        <v>3253</v>
      </c>
      <c r="C357" s="10" t="s">
        <v>21</v>
      </c>
      <c r="D357" s="11" t="s">
        <v>1473</v>
      </c>
      <c r="E357" s="13" t="s">
        <v>134</v>
      </c>
      <c r="F357" s="11" t="s">
        <v>1474</v>
      </c>
      <c r="G357" s="13"/>
      <c r="H357" s="22">
        <v>0</v>
      </c>
      <c r="I357" s="9">
        <f t="shared" ca="1" si="11"/>
        <v>0.34363398951635638</v>
      </c>
    </row>
    <row r="358" spans="1:9" ht="15.75" hidden="1" customHeight="1" x14ac:dyDescent="0.15">
      <c r="A358" s="10">
        <f t="shared" si="10"/>
        <v>357</v>
      </c>
      <c r="B358" s="12" t="s">
        <v>3253</v>
      </c>
      <c r="C358" s="10" t="s">
        <v>16</v>
      </c>
      <c r="D358" s="12" t="s">
        <v>1475</v>
      </c>
      <c r="E358" s="13" t="s">
        <v>98</v>
      </c>
      <c r="F358" s="12" t="s">
        <v>1476</v>
      </c>
      <c r="G358" s="13"/>
      <c r="H358" s="14">
        <v>1</v>
      </c>
      <c r="I358" s="9">
        <f t="shared" ca="1" si="11"/>
        <v>0.92382477838804844</v>
      </c>
    </row>
    <row r="359" spans="1:9" ht="15.75" hidden="1" customHeight="1" x14ac:dyDescent="0.15">
      <c r="A359" s="10">
        <f t="shared" si="10"/>
        <v>358</v>
      </c>
      <c r="B359" s="12" t="s">
        <v>3253</v>
      </c>
      <c r="C359" s="10" t="s">
        <v>11</v>
      </c>
      <c r="D359" s="12" t="s">
        <v>1477</v>
      </c>
      <c r="E359" s="12" t="s">
        <v>1478</v>
      </c>
      <c r="F359" s="11" t="s">
        <v>1479</v>
      </c>
      <c r="G359" s="13"/>
      <c r="H359" s="22">
        <v>0</v>
      </c>
      <c r="I359" s="9">
        <f t="shared" ca="1" si="11"/>
        <v>0.2920626141597723</v>
      </c>
    </row>
    <row r="360" spans="1:9" ht="15.75" customHeight="1" x14ac:dyDescent="0.15">
      <c r="A360" s="10">
        <f t="shared" si="10"/>
        <v>359</v>
      </c>
      <c r="B360" s="11" t="s">
        <v>36</v>
      </c>
      <c r="C360" s="10" t="s">
        <v>21</v>
      </c>
      <c r="D360" s="12" t="s">
        <v>1480</v>
      </c>
      <c r="E360" s="13" t="s">
        <v>241</v>
      </c>
      <c r="F360" s="12" t="s">
        <v>1481</v>
      </c>
      <c r="G360" s="13"/>
      <c r="H360" s="22">
        <v>0</v>
      </c>
      <c r="I360" s="9">
        <f t="shared" ca="1" si="11"/>
        <v>0.29933050651087967</v>
      </c>
    </row>
    <row r="361" spans="1:9" ht="15.75" hidden="1" customHeight="1" x14ac:dyDescent="0.15">
      <c r="A361" s="10">
        <f t="shared" si="10"/>
        <v>360</v>
      </c>
      <c r="B361" s="11" t="s">
        <v>36</v>
      </c>
      <c r="C361" s="10" t="s">
        <v>11</v>
      </c>
      <c r="D361" s="11" t="s">
        <v>1482</v>
      </c>
      <c r="E361" s="11" t="s">
        <v>1483</v>
      </c>
      <c r="F361" s="11" t="s">
        <v>1484</v>
      </c>
      <c r="G361" s="13"/>
      <c r="H361" s="22">
        <v>0</v>
      </c>
      <c r="I361" s="9">
        <f t="shared" ca="1" si="11"/>
        <v>4.4879566409245397E-2</v>
      </c>
    </row>
    <row r="362" spans="1:9" ht="15.75" customHeight="1" x14ac:dyDescent="0.15">
      <c r="A362" s="10">
        <f t="shared" si="10"/>
        <v>361</v>
      </c>
      <c r="B362" s="11" t="s">
        <v>36</v>
      </c>
      <c r="C362" s="10" t="s">
        <v>21</v>
      </c>
      <c r="D362" s="12" t="s">
        <v>1485</v>
      </c>
      <c r="E362" s="13" t="s">
        <v>620</v>
      </c>
      <c r="F362" s="12" t="s">
        <v>1486</v>
      </c>
      <c r="G362" s="13"/>
      <c r="H362" s="22">
        <v>0</v>
      </c>
      <c r="I362" s="9">
        <f t="shared" ca="1" si="11"/>
        <v>0.64431719389725717</v>
      </c>
    </row>
    <row r="363" spans="1:9" ht="15.75" customHeight="1" x14ac:dyDescent="0.15">
      <c r="A363" s="10">
        <f t="shared" si="10"/>
        <v>362</v>
      </c>
      <c r="B363" s="11" t="s">
        <v>36</v>
      </c>
      <c r="C363" s="10" t="s">
        <v>27</v>
      </c>
      <c r="D363" s="11" t="s">
        <v>1487</v>
      </c>
      <c r="E363" s="15">
        <v>24161</v>
      </c>
      <c r="F363" s="11" t="s">
        <v>1488</v>
      </c>
      <c r="G363" s="13"/>
      <c r="H363" s="14">
        <v>1</v>
      </c>
      <c r="I363" s="9">
        <f t="shared" ca="1" si="11"/>
        <v>0.78394199170798939</v>
      </c>
    </row>
    <row r="364" spans="1:9" ht="15.75" customHeight="1" x14ac:dyDescent="0.15">
      <c r="A364" s="10">
        <f t="shared" si="10"/>
        <v>363</v>
      </c>
      <c r="B364" s="11" t="s">
        <v>31</v>
      </c>
      <c r="C364" s="10" t="s">
        <v>32</v>
      </c>
      <c r="D364" s="11" t="s">
        <v>1489</v>
      </c>
      <c r="E364" s="12" t="s">
        <v>286</v>
      </c>
      <c r="F364" s="11" t="s">
        <v>1490</v>
      </c>
      <c r="G364" s="13"/>
      <c r="H364" s="22">
        <v>0</v>
      </c>
      <c r="I364" s="9">
        <f t="shared" ca="1" si="11"/>
        <v>5.6361306978163106E-2</v>
      </c>
    </row>
    <row r="365" spans="1:9" ht="15.75" hidden="1" customHeight="1" x14ac:dyDescent="0.15">
      <c r="A365" s="10">
        <f t="shared" si="10"/>
        <v>364</v>
      </c>
      <c r="B365" s="11" t="s">
        <v>36</v>
      </c>
      <c r="C365" s="10" t="s">
        <v>11</v>
      </c>
      <c r="D365" s="12" t="s">
        <v>1491</v>
      </c>
      <c r="E365" s="12" t="s">
        <v>1492</v>
      </c>
      <c r="F365" s="11" t="s">
        <v>1493</v>
      </c>
      <c r="G365" s="13"/>
      <c r="H365" s="22">
        <v>0</v>
      </c>
      <c r="I365" s="9">
        <f t="shared" ca="1" si="11"/>
        <v>0.68179446023344326</v>
      </c>
    </row>
    <row r="366" spans="1:9" ht="15.75" customHeight="1" x14ac:dyDescent="0.15">
      <c r="A366" s="10">
        <f t="shared" si="10"/>
        <v>365</v>
      </c>
      <c r="B366" s="12" t="s">
        <v>3253</v>
      </c>
      <c r="C366" s="10" t="s">
        <v>21</v>
      </c>
      <c r="D366" s="12" t="s">
        <v>1494</v>
      </c>
      <c r="E366" s="13" t="s">
        <v>1361</v>
      </c>
      <c r="F366" s="12" t="s">
        <v>1495</v>
      </c>
      <c r="G366" s="13"/>
      <c r="H366" s="22">
        <v>0</v>
      </c>
      <c r="I366" s="9">
        <f t="shared" ca="1" si="11"/>
        <v>0.15271760636036136</v>
      </c>
    </row>
    <row r="367" spans="1:9" ht="15.75" hidden="1" customHeight="1" x14ac:dyDescent="0.15">
      <c r="A367" s="10">
        <f t="shared" si="10"/>
        <v>366</v>
      </c>
      <c r="B367" s="11" t="s">
        <v>36</v>
      </c>
      <c r="C367" s="10" t="s">
        <v>11</v>
      </c>
      <c r="D367" s="12" t="s">
        <v>1496</v>
      </c>
      <c r="E367" s="12" t="s">
        <v>1497</v>
      </c>
      <c r="F367" s="11" t="s">
        <v>1498</v>
      </c>
      <c r="G367" s="13"/>
      <c r="H367" s="22">
        <v>0</v>
      </c>
      <c r="I367" s="9">
        <f t="shared" ca="1" si="11"/>
        <v>0.81253845673535874</v>
      </c>
    </row>
    <row r="368" spans="1:9" ht="15.75" customHeight="1" x14ac:dyDescent="0.15">
      <c r="A368" s="10">
        <f t="shared" si="10"/>
        <v>367</v>
      </c>
      <c r="B368" s="11" t="s">
        <v>36</v>
      </c>
      <c r="C368" s="10" t="s">
        <v>27</v>
      </c>
      <c r="D368" s="11" t="s">
        <v>1499</v>
      </c>
      <c r="E368" s="11" t="s">
        <v>1500</v>
      </c>
      <c r="F368" s="11" t="s">
        <v>1501</v>
      </c>
      <c r="G368" s="13"/>
      <c r="H368" s="14">
        <v>1</v>
      </c>
      <c r="I368" s="9">
        <f t="shared" ca="1" si="11"/>
        <v>0.21405652001302877</v>
      </c>
    </row>
    <row r="369" spans="1:9" ht="15.75" customHeight="1" x14ac:dyDescent="0.15">
      <c r="A369" s="10">
        <f t="shared" si="10"/>
        <v>368</v>
      </c>
      <c r="B369" s="12" t="s">
        <v>1266</v>
      </c>
      <c r="C369" s="10" t="s">
        <v>32</v>
      </c>
      <c r="D369" s="11" t="s">
        <v>1502</v>
      </c>
      <c r="E369" s="12" t="s">
        <v>286</v>
      </c>
      <c r="F369" s="11" t="s">
        <v>1503</v>
      </c>
      <c r="G369" s="13"/>
      <c r="H369" s="22">
        <v>0</v>
      </c>
      <c r="I369" s="9">
        <f t="shared" ca="1" si="11"/>
        <v>0.90042480962307059</v>
      </c>
    </row>
    <row r="370" spans="1:9" ht="15.75" hidden="1" customHeight="1" x14ac:dyDescent="0.15">
      <c r="A370" s="10">
        <f t="shared" si="10"/>
        <v>369</v>
      </c>
      <c r="B370" s="11" t="s">
        <v>36</v>
      </c>
      <c r="C370" s="10" t="s">
        <v>11</v>
      </c>
      <c r="D370" s="12" t="s">
        <v>1504</v>
      </c>
      <c r="E370" s="12" t="s">
        <v>1505</v>
      </c>
      <c r="F370" s="11" t="s">
        <v>1506</v>
      </c>
      <c r="G370" s="13"/>
      <c r="H370" s="22">
        <v>0</v>
      </c>
      <c r="I370" s="9">
        <f t="shared" ca="1" si="11"/>
        <v>0.97672209747303917</v>
      </c>
    </row>
    <row r="371" spans="1:9" ht="15.75" hidden="1" customHeight="1" x14ac:dyDescent="0.15">
      <c r="A371" s="10">
        <f t="shared" si="10"/>
        <v>370</v>
      </c>
      <c r="B371" s="12" t="s">
        <v>3253</v>
      </c>
      <c r="C371" s="10" t="s">
        <v>11</v>
      </c>
      <c r="D371" s="12" t="s">
        <v>1507</v>
      </c>
      <c r="E371" s="12" t="s">
        <v>1508</v>
      </c>
      <c r="F371" s="11" t="s">
        <v>1509</v>
      </c>
      <c r="G371" s="13"/>
      <c r="H371" s="22">
        <v>0</v>
      </c>
      <c r="I371" s="9">
        <f t="shared" ca="1" si="11"/>
        <v>0.84040633275605403</v>
      </c>
    </row>
    <row r="372" spans="1:9" ht="15.75" customHeight="1" x14ac:dyDescent="0.15">
      <c r="A372" s="10">
        <f t="shared" si="10"/>
        <v>371</v>
      </c>
      <c r="B372" s="12" t="s">
        <v>3253</v>
      </c>
      <c r="C372" s="10" t="s">
        <v>32</v>
      </c>
      <c r="D372" s="12" t="s">
        <v>1510</v>
      </c>
      <c r="E372" s="12" t="s">
        <v>174</v>
      </c>
      <c r="F372" s="11" t="s">
        <v>1511</v>
      </c>
      <c r="G372" s="13"/>
      <c r="H372" s="22">
        <v>0</v>
      </c>
      <c r="I372" s="9">
        <f t="shared" ca="1" si="11"/>
        <v>4.0845975287549741E-2</v>
      </c>
    </row>
    <row r="373" spans="1:9" ht="15.75" hidden="1" customHeight="1" x14ac:dyDescent="0.15">
      <c r="A373" s="10">
        <f t="shared" si="10"/>
        <v>372</v>
      </c>
      <c r="B373" s="10" t="s">
        <v>3253</v>
      </c>
      <c r="C373" s="10" t="s">
        <v>16</v>
      </c>
      <c r="D373" s="12" t="s">
        <v>1512</v>
      </c>
      <c r="E373" s="13" t="s">
        <v>106</v>
      </c>
      <c r="F373" s="12" t="s">
        <v>1513</v>
      </c>
      <c r="G373" s="13"/>
      <c r="H373" s="22">
        <v>0</v>
      </c>
      <c r="I373" s="9">
        <f t="shared" ca="1" si="11"/>
        <v>0.20915329924486037</v>
      </c>
    </row>
    <row r="374" spans="1:9" ht="15.75" customHeight="1" x14ac:dyDescent="0.15">
      <c r="A374" s="10">
        <f t="shared" si="10"/>
        <v>373</v>
      </c>
      <c r="B374" s="12" t="s">
        <v>3253</v>
      </c>
      <c r="C374" s="10" t="s">
        <v>32</v>
      </c>
      <c r="D374" s="12" t="s">
        <v>1514</v>
      </c>
      <c r="E374" s="12" t="s">
        <v>286</v>
      </c>
      <c r="F374" s="11" t="s">
        <v>1515</v>
      </c>
      <c r="G374" s="13"/>
      <c r="H374" s="22">
        <v>0</v>
      </c>
      <c r="I374" s="9">
        <f t="shared" ca="1" si="11"/>
        <v>0.26662612148791842</v>
      </c>
    </row>
    <row r="375" spans="1:9" ht="15.75" hidden="1" customHeight="1" x14ac:dyDescent="0.15">
      <c r="A375" s="10">
        <f t="shared" si="10"/>
        <v>374</v>
      </c>
      <c r="B375" s="10" t="s">
        <v>20</v>
      </c>
      <c r="C375" s="10" t="s">
        <v>11</v>
      </c>
      <c r="D375" s="11" t="s">
        <v>1516</v>
      </c>
      <c r="E375" s="12" t="s">
        <v>1517</v>
      </c>
      <c r="F375" s="11" t="s">
        <v>1518</v>
      </c>
      <c r="G375" s="13"/>
      <c r="H375" s="22">
        <v>0</v>
      </c>
      <c r="I375" s="9">
        <f t="shared" ca="1" si="11"/>
        <v>0.80743894186818288</v>
      </c>
    </row>
    <row r="376" spans="1:9" ht="15.75" hidden="1" customHeight="1" x14ac:dyDescent="0.15">
      <c r="A376" s="10">
        <f t="shared" si="10"/>
        <v>375</v>
      </c>
      <c r="B376" s="10" t="s">
        <v>20</v>
      </c>
      <c r="C376" s="10" t="s">
        <v>16</v>
      </c>
      <c r="D376" s="11" t="s">
        <v>1519</v>
      </c>
      <c r="E376" s="13" t="s">
        <v>98</v>
      </c>
      <c r="F376" s="12" t="s">
        <v>1520</v>
      </c>
      <c r="G376" s="13"/>
      <c r="H376" s="22">
        <v>0</v>
      </c>
      <c r="I376" s="9">
        <f t="shared" ca="1" si="11"/>
        <v>0.98312416546596659</v>
      </c>
    </row>
    <row r="377" spans="1:9" ht="15.75" hidden="1" customHeight="1" x14ac:dyDescent="0.15">
      <c r="A377" s="10">
        <f t="shared" si="10"/>
        <v>376</v>
      </c>
      <c r="B377" s="10" t="s">
        <v>20</v>
      </c>
      <c r="C377" s="10" t="s">
        <v>16</v>
      </c>
      <c r="D377" s="11" t="s">
        <v>1521</v>
      </c>
      <c r="E377" s="13" t="s">
        <v>98</v>
      </c>
      <c r="F377" s="11" t="s">
        <v>1522</v>
      </c>
      <c r="G377" s="13"/>
      <c r="H377" s="14">
        <v>1</v>
      </c>
      <c r="I377" s="9">
        <f t="shared" ca="1" si="11"/>
        <v>0.5747525976921305</v>
      </c>
    </row>
    <row r="378" spans="1:9" ht="15.75" hidden="1" customHeight="1" x14ac:dyDescent="0.2">
      <c r="A378" s="10">
        <f t="shared" si="10"/>
        <v>377</v>
      </c>
      <c r="B378" s="18" t="s">
        <v>20</v>
      </c>
      <c r="C378" s="10" t="s">
        <v>16</v>
      </c>
      <c r="D378" s="12" t="s">
        <v>1523</v>
      </c>
      <c r="E378" s="13" t="s">
        <v>127</v>
      </c>
      <c r="F378" s="12" t="s">
        <v>1524</v>
      </c>
      <c r="G378" s="13"/>
      <c r="H378" s="22">
        <v>0</v>
      </c>
      <c r="I378" s="9">
        <f t="shared" ca="1" si="11"/>
        <v>0.71169634563933792</v>
      </c>
    </row>
    <row r="379" spans="1:9" ht="15.75" hidden="1" customHeight="1" x14ac:dyDescent="0.15">
      <c r="A379" s="10">
        <f t="shared" si="10"/>
        <v>378</v>
      </c>
      <c r="B379" s="11" t="s">
        <v>36</v>
      </c>
      <c r="C379" s="10" t="s">
        <v>16</v>
      </c>
      <c r="D379" s="11" t="s">
        <v>1525</v>
      </c>
      <c r="E379" s="13" t="s">
        <v>127</v>
      </c>
      <c r="F379" s="11" t="s">
        <v>1526</v>
      </c>
      <c r="G379" s="13"/>
      <c r="H379" s="14">
        <v>1</v>
      </c>
      <c r="I379" s="9">
        <f t="shared" ca="1" si="11"/>
        <v>0.28899646150194391</v>
      </c>
    </row>
    <row r="380" spans="1:9" ht="15.75" hidden="1" customHeight="1" x14ac:dyDescent="0.15">
      <c r="A380" s="10">
        <f t="shared" si="10"/>
        <v>379</v>
      </c>
      <c r="B380" s="12" t="s">
        <v>3253</v>
      </c>
      <c r="C380" s="10" t="s">
        <v>11</v>
      </c>
      <c r="D380" s="12" t="s">
        <v>1527</v>
      </c>
      <c r="E380" s="12" t="s">
        <v>1528</v>
      </c>
      <c r="F380" s="11" t="s">
        <v>1529</v>
      </c>
      <c r="G380" s="13"/>
      <c r="H380" s="22">
        <v>0</v>
      </c>
      <c r="I380" s="9">
        <f t="shared" ca="1" si="11"/>
        <v>2.6676221708568648E-2</v>
      </c>
    </row>
    <row r="381" spans="1:9" ht="15.75" customHeight="1" x14ac:dyDescent="0.15">
      <c r="A381" s="10">
        <f t="shared" si="10"/>
        <v>380</v>
      </c>
      <c r="B381" s="10" t="s">
        <v>20</v>
      </c>
      <c r="C381" s="10" t="s">
        <v>27</v>
      </c>
      <c r="D381" s="11" t="s">
        <v>1530</v>
      </c>
      <c r="E381" s="12" t="s">
        <v>1531</v>
      </c>
      <c r="F381" s="12" t="s">
        <v>1532</v>
      </c>
      <c r="G381" s="13"/>
      <c r="H381" s="22">
        <v>0</v>
      </c>
      <c r="I381" s="9">
        <f t="shared" ca="1" si="11"/>
        <v>0.74296831007319919</v>
      </c>
    </row>
    <row r="382" spans="1:9" ht="15.75" customHeight="1" x14ac:dyDescent="0.15">
      <c r="A382" s="10">
        <f t="shared" si="10"/>
        <v>381</v>
      </c>
      <c r="B382" s="11" t="s">
        <v>36</v>
      </c>
      <c r="C382" s="10" t="s">
        <v>21</v>
      </c>
      <c r="D382" s="12" t="s">
        <v>1533</v>
      </c>
      <c r="E382" s="13" t="s">
        <v>132</v>
      </c>
      <c r="F382" s="12" t="s">
        <v>1534</v>
      </c>
      <c r="G382" s="13"/>
      <c r="H382" s="22">
        <v>0</v>
      </c>
      <c r="I382" s="9">
        <f t="shared" ca="1" si="11"/>
        <v>5.7946590334163162E-2</v>
      </c>
    </row>
    <row r="383" spans="1:9" ht="15.75" hidden="1" customHeight="1" x14ac:dyDescent="0.15">
      <c r="A383" s="10">
        <f t="shared" si="10"/>
        <v>382</v>
      </c>
      <c r="B383" s="11" t="s">
        <v>36</v>
      </c>
      <c r="C383" s="10" t="s">
        <v>16</v>
      </c>
      <c r="D383" s="11" t="s">
        <v>1535</v>
      </c>
      <c r="E383" s="13" t="s">
        <v>127</v>
      </c>
      <c r="F383" s="12" t="s">
        <v>1536</v>
      </c>
      <c r="G383" s="13"/>
      <c r="H383" s="22">
        <v>0</v>
      </c>
      <c r="I383" s="9">
        <f t="shared" ca="1" si="11"/>
        <v>0.74079433263598171</v>
      </c>
    </row>
    <row r="384" spans="1:9" ht="15.75" hidden="1" customHeight="1" x14ac:dyDescent="0.15">
      <c r="A384" s="10">
        <f t="shared" si="10"/>
        <v>383</v>
      </c>
      <c r="B384" s="11" t="s">
        <v>36</v>
      </c>
      <c r="C384" s="10" t="s">
        <v>16</v>
      </c>
      <c r="D384" s="12" t="s">
        <v>1537</v>
      </c>
      <c r="E384" s="13" t="s">
        <v>159</v>
      </c>
      <c r="F384" s="12" t="s">
        <v>1538</v>
      </c>
      <c r="G384" s="13"/>
      <c r="H384" s="22">
        <v>0</v>
      </c>
      <c r="I384" s="9">
        <f t="shared" ca="1" si="11"/>
        <v>0.67071347725530417</v>
      </c>
    </row>
    <row r="385" spans="1:9" ht="15.75" customHeight="1" x14ac:dyDescent="0.15">
      <c r="A385" s="10">
        <f t="shared" si="10"/>
        <v>384</v>
      </c>
      <c r="B385" s="12" t="s">
        <v>3253</v>
      </c>
      <c r="C385" s="10" t="s">
        <v>32</v>
      </c>
      <c r="D385" s="11" t="s">
        <v>1539</v>
      </c>
      <c r="E385" s="12" t="s">
        <v>174</v>
      </c>
      <c r="F385" s="11" t="s">
        <v>1540</v>
      </c>
      <c r="G385" s="13"/>
      <c r="H385" s="22">
        <v>0</v>
      </c>
      <c r="I385" s="9">
        <f t="shared" ca="1" si="11"/>
        <v>0.65064603680870436</v>
      </c>
    </row>
    <row r="386" spans="1:9" ht="15.75" customHeight="1" x14ac:dyDescent="0.15">
      <c r="A386" s="10">
        <f t="shared" si="10"/>
        <v>385</v>
      </c>
      <c r="B386" s="11" t="s">
        <v>36</v>
      </c>
      <c r="C386" s="10" t="s">
        <v>32</v>
      </c>
      <c r="D386" s="11" t="s">
        <v>1541</v>
      </c>
      <c r="E386" s="12" t="s">
        <v>286</v>
      </c>
      <c r="F386" s="11" t="s">
        <v>1542</v>
      </c>
      <c r="G386" s="13"/>
      <c r="H386" s="22">
        <v>0</v>
      </c>
      <c r="I386" s="9">
        <f t="shared" ca="1" si="11"/>
        <v>0.66625040398581248</v>
      </c>
    </row>
    <row r="387" spans="1:9" ht="15.75" customHeight="1" x14ac:dyDescent="0.15">
      <c r="A387" s="10">
        <f t="shared" ref="A387:A450" si="12">ROW() - 1</f>
        <v>386</v>
      </c>
      <c r="B387" s="10" t="s">
        <v>20</v>
      </c>
      <c r="C387" s="10" t="s">
        <v>27</v>
      </c>
      <c r="D387" s="11" t="s">
        <v>1543</v>
      </c>
      <c r="E387" s="11" t="s">
        <v>1544</v>
      </c>
      <c r="F387" s="11" t="s">
        <v>1545</v>
      </c>
      <c r="G387" s="13"/>
      <c r="H387" s="14">
        <v>1</v>
      </c>
      <c r="I387" s="9">
        <f t="shared" ca="1" si="11"/>
        <v>0.88130177522388409</v>
      </c>
    </row>
    <row r="388" spans="1:9" ht="15.75" hidden="1" customHeight="1" x14ac:dyDescent="0.15">
      <c r="A388" s="10">
        <f t="shared" si="12"/>
        <v>387</v>
      </c>
      <c r="B388" s="12" t="s">
        <v>20</v>
      </c>
      <c r="C388" s="10" t="s">
        <v>16</v>
      </c>
      <c r="D388" s="11" t="s">
        <v>1546</v>
      </c>
      <c r="E388" s="13" t="s">
        <v>127</v>
      </c>
      <c r="F388" s="11" t="s">
        <v>1547</v>
      </c>
      <c r="G388" s="13"/>
      <c r="H388" s="14">
        <v>1</v>
      </c>
      <c r="I388" s="9">
        <f t="shared" ref="I388:I451" ca="1" si="13">RAND()</f>
        <v>0.38921595207756399</v>
      </c>
    </row>
    <row r="389" spans="1:9" ht="15.75" customHeight="1" x14ac:dyDescent="0.15">
      <c r="A389" s="10">
        <f t="shared" si="12"/>
        <v>388</v>
      </c>
      <c r="B389" s="12" t="s">
        <v>3253</v>
      </c>
      <c r="C389" s="10" t="s">
        <v>32</v>
      </c>
      <c r="D389" s="12" t="s">
        <v>1548</v>
      </c>
      <c r="E389" s="12" t="s">
        <v>174</v>
      </c>
      <c r="F389" s="11" t="s">
        <v>1549</v>
      </c>
      <c r="G389" s="13"/>
      <c r="H389" s="22">
        <v>0</v>
      </c>
      <c r="I389" s="9">
        <f t="shared" ca="1" si="13"/>
        <v>0.6747744418873457</v>
      </c>
    </row>
    <row r="390" spans="1:9" ht="15.75" hidden="1" customHeight="1" x14ac:dyDescent="0.15">
      <c r="A390" s="10">
        <f t="shared" si="12"/>
        <v>389</v>
      </c>
      <c r="B390" s="12" t="s">
        <v>1266</v>
      </c>
      <c r="C390" s="10" t="s">
        <v>16</v>
      </c>
      <c r="D390" s="11" t="s">
        <v>1550</v>
      </c>
      <c r="E390" s="13" t="s">
        <v>127</v>
      </c>
      <c r="F390" s="11" t="s">
        <v>1551</v>
      </c>
      <c r="G390" s="13"/>
      <c r="H390" s="22">
        <v>0</v>
      </c>
      <c r="I390" s="9">
        <f t="shared" ca="1" si="13"/>
        <v>0.22089086117861878</v>
      </c>
    </row>
    <row r="391" spans="1:9" ht="15.75" customHeight="1" x14ac:dyDescent="0.15">
      <c r="A391" s="10">
        <f t="shared" si="12"/>
        <v>390</v>
      </c>
      <c r="B391" s="10" t="s">
        <v>20</v>
      </c>
      <c r="C391" s="10" t="s">
        <v>21</v>
      </c>
      <c r="D391" s="12" t="s">
        <v>1552</v>
      </c>
      <c r="E391" s="12" t="s">
        <v>560</v>
      </c>
      <c r="F391" s="12" t="s">
        <v>1553</v>
      </c>
      <c r="G391" s="13"/>
      <c r="H391" s="22">
        <v>0</v>
      </c>
      <c r="I391" s="9">
        <f t="shared" ca="1" si="13"/>
        <v>0.95349819689826687</v>
      </c>
    </row>
    <row r="392" spans="1:9" ht="15.75" customHeight="1" x14ac:dyDescent="0.15">
      <c r="A392" s="10">
        <f t="shared" si="12"/>
        <v>391</v>
      </c>
      <c r="B392" s="11" t="s">
        <v>31</v>
      </c>
      <c r="C392" s="10" t="s">
        <v>27</v>
      </c>
      <c r="D392" s="11" t="s">
        <v>1554</v>
      </c>
      <c r="E392" s="12" t="s">
        <v>1555</v>
      </c>
      <c r="F392" s="11" t="s">
        <v>1556</v>
      </c>
      <c r="G392" s="13"/>
      <c r="H392" s="22">
        <v>0</v>
      </c>
      <c r="I392" s="9">
        <f t="shared" ca="1" si="13"/>
        <v>9.0026962608650174E-2</v>
      </c>
    </row>
    <row r="393" spans="1:9" ht="15.75" customHeight="1" x14ac:dyDescent="0.15">
      <c r="A393" s="10">
        <f t="shared" si="12"/>
        <v>392</v>
      </c>
      <c r="B393" s="12" t="s">
        <v>1266</v>
      </c>
      <c r="C393" s="10" t="s">
        <v>32</v>
      </c>
      <c r="D393" s="11" t="s">
        <v>1557</v>
      </c>
      <c r="E393" s="12" t="s">
        <v>174</v>
      </c>
      <c r="F393" s="11" t="s">
        <v>1558</v>
      </c>
      <c r="G393" s="13"/>
      <c r="H393" s="22">
        <v>0</v>
      </c>
      <c r="I393" s="9">
        <f t="shared" ca="1" si="13"/>
        <v>0.56152323862895237</v>
      </c>
    </row>
    <row r="394" spans="1:9" ht="15.75" customHeight="1" x14ac:dyDescent="0.15">
      <c r="A394" s="10">
        <f t="shared" si="12"/>
        <v>393</v>
      </c>
      <c r="B394" s="11" t="s">
        <v>36</v>
      </c>
      <c r="C394" s="10" t="s">
        <v>32</v>
      </c>
      <c r="D394" s="11" t="s">
        <v>1559</v>
      </c>
      <c r="E394" s="12" t="s">
        <v>174</v>
      </c>
      <c r="F394" s="11" t="s">
        <v>1560</v>
      </c>
      <c r="G394" s="13"/>
      <c r="H394" s="22">
        <v>0</v>
      </c>
      <c r="I394" s="9">
        <f t="shared" ca="1" si="13"/>
        <v>0.27228353298414454</v>
      </c>
    </row>
    <row r="395" spans="1:9" ht="15.75" hidden="1" customHeight="1" x14ac:dyDescent="0.15">
      <c r="A395" s="10">
        <f t="shared" si="12"/>
        <v>394</v>
      </c>
      <c r="B395" s="11" t="s">
        <v>36</v>
      </c>
      <c r="C395" s="10" t="s">
        <v>16</v>
      </c>
      <c r="D395" s="12" t="s">
        <v>1561</v>
      </c>
      <c r="E395" s="13" t="s">
        <v>98</v>
      </c>
      <c r="F395" s="12" t="s">
        <v>1562</v>
      </c>
      <c r="G395" s="13"/>
      <c r="H395" s="22">
        <v>0</v>
      </c>
      <c r="I395" s="9">
        <f t="shared" ca="1" si="13"/>
        <v>0.38979012316275219</v>
      </c>
    </row>
    <row r="396" spans="1:9" ht="15.75" customHeight="1" x14ac:dyDescent="0.15">
      <c r="A396" s="10">
        <f t="shared" si="12"/>
        <v>395</v>
      </c>
      <c r="B396" s="10" t="s">
        <v>20</v>
      </c>
      <c r="C396" s="10" t="s">
        <v>27</v>
      </c>
      <c r="D396" s="11" t="s">
        <v>1563</v>
      </c>
      <c r="E396" s="15">
        <v>5</v>
      </c>
      <c r="F396" s="12" t="s">
        <v>1564</v>
      </c>
      <c r="G396" s="13"/>
      <c r="H396" s="14">
        <v>1</v>
      </c>
      <c r="I396" s="9">
        <f t="shared" ca="1" si="13"/>
        <v>0.1956292198534304</v>
      </c>
    </row>
    <row r="397" spans="1:9" ht="15.75" customHeight="1" x14ac:dyDescent="0.15">
      <c r="A397" s="10">
        <f t="shared" si="12"/>
        <v>396</v>
      </c>
      <c r="B397" s="12" t="s">
        <v>3253</v>
      </c>
      <c r="C397" s="10" t="s">
        <v>27</v>
      </c>
      <c r="D397" s="12" t="s">
        <v>1565</v>
      </c>
      <c r="E397" s="15">
        <v>2</v>
      </c>
      <c r="F397" s="12" t="s">
        <v>1566</v>
      </c>
      <c r="G397" s="13"/>
      <c r="H397" s="14">
        <v>1</v>
      </c>
      <c r="I397" s="9">
        <f t="shared" ca="1" si="13"/>
        <v>0.47090208786746579</v>
      </c>
    </row>
    <row r="398" spans="1:9" ht="15.75" hidden="1" customHeight="1" x14ac:dyDescent="0.15">
      <c r="A398" s="10">
        <f t="shared" si="12"/>
        <v>397</v>
      </c>
      <c r="B398" s="12" t="s">
        <v>3253</v>
      </c>
      <c r="C398" s="10" t="s">
        <v>16</v>
      </c>
      <c r="D398" s="12" t="s">
        <v>1567</v>
      </c>
      <c r="E398" s="13" t="s">
        <v>127</v>
      </c>
      <c r="F398" s="12" t="s">
        <v>1568</v>
      </c>
      <c r="G398" s="13"/>
      <c r="H398" s="22">
        <v>0</v>
      </c>
      <c r="I398" s="9">
        <f t="shared" ca="1" si="13"/>
        <v>0.34533232254376478</v>
      </c>
    </row>
    <row r="399" spans="1:9" ht="15.75" hidden="1" customHeight="1" x14ac:dyDescent="0.15">
      <c r="A399" s="10">
        <f t="shared" si="12"/>
        <v>398</v>
      </c>
      <c r="B399" s="12" t="s">
        <v>3253</v>
      </c>
      <c r="C399" s="10" t="s">
        <v>16</v>
      </c>
      <c r="D399" s="12" t="s">
        <v>1569</v>
      </c>
      <c r="E399" s="13" t="s">
        <v>98</v>
      </c>
      <c r="F399" s="12" t="s">
        <v>1570</v>
      </c>
      <c r="G399" s="13"/>
      <c r="H399" s="22">
        <v>0</v>
      </c>
      <c r="I399" s="9">
        <f t="shared" ca="1" si="13"/>
        <v>0.71261938021422622</v>
      </c>
    </row>
    <row r="400" spans="1:9" ht="15.75" customHeight="1" x14ac:dyDescent="0.15">
      <c r="A400" s="10">
        <f t="shared" si="12"/>
        <v>399</v>
      </c>
      <c r="B400" s="11" t="s">
        <v>36</v>
      </c>
      <c r="C400" s="10" t="s">
        <v>21</v>
      </c>
      <c r="D400" s="12" t="s">
        <v>1571</v>
      </c>
      <c r="E400" s="13" t="s">
        <v>134</v>
      </c>
      <c r="F400" s="12" t="s">
        <v>1572</v>
      </c>
      <c r="G400" s="13"/>
      <c r="H400" s="22">
        <v>0</v>
      </c>
      <c r="I400" s="9">
        <f t="shared" ca="1" si="13"/>
        <v>0.17227002435248584</v>
      </c>
    </row>
    <row r="401" spans="1:9" ht="15.75" customHeight="1" x14ac:dyDescent="0.15">
      <c r="A401" s="10">
        <f t="shared" si="12"/>
        <v>400</v>
      </c>
      <c r="B401" s="10" t="s">
        <v>20</v>
      </c>
      <c r="C401" s="10" t="s">
        <v>32</v>
      </c>
      <c r="D401" s="11" t="s">
        <v>1573</v>
      </c>
      <c r="E401" s="12" t="s">
        <v>174</v>
      </c>
      <c r="F401" s="11" t="s">
        <v>1574</v>
      </c>
      <c r="G401" s="13"/>
      <c r="H401" s="22">
        <v>0</v>
      </c>
      <c r="I401" s="9">
        <f t="shared" ca="1" si="13"/>
        <v>0.7500661884782075</v>
      </c>
    </row>
    <row r="402" spans="1:9" ht="15.75" customHeight="1" x14ac:dyDescent="0.15">
      <c r="A402" s="10">
        <f t="shared" si="12"/>
        <v>401</v>
      </c>
      <c r="B402" s="12" t="s">
        <v>3253</v>
      </c>
      <c r="C402" s="10" t="s">
        <v>21</v>
      </c>
      <c r="D402" s="11" t="s">
        <v>1575</v>
      </c>
      <c r="E402" s="13" t="s">
        <v>134</v>
      </c>
      <c r="F402" s="12" t="s">
        <v>1576</v>
      </c>
      <c r="G402" s="13"/>
      <c r="H402" s="22">
        <v>0</v>
      </c>
      <c r="I402" s="9">
        <f t="shared" ca="1" si="13"/>
        <v>0.2946475682396833</v>
      </c>
    </row>
    <row r="403" spans="1:9" ht="15.75" customHeight="1" x14ac:dyDescent="0.15">
      <c r="A403" s="10">
        <f t="shared" si="12"/>
        <v>402</v>
      </c>
      <c r="B403" s="10" t="s">
        <v>20</v>
      </c>
      <c r="C403" s="10" t="s">
        <v>21</v>
      </c>
      <c r="D403" s="11" t="s">
        <v>1577</v>
      </c>
      <c r="E403" s="13" t="s">
        <v>560</v>
      </c>
      <c r="F403" s="11" t="s">
        <v>1578</v>
      </c>
      <c r="G403" s="13"/>
      <c r="H403" s="22">
        <v>0</v>
      </c>
      <c r="I403" s="9">
        <f t="shared" ca="1" si="13"/>
        <v>0.87277429800136808</v>
      </c>
    </row>
    <row r="404" spans="1:9" ht="15.75" customHeight="1" x14ac:dyDescent="0.15">
      <c r="A404" s="10">
        <f t="shared" si="12"/>
        <v>403</v>
      </c>
      <c r="B404" s="12" t="s">
        <v>3253</v>
      </c>
      <c r="C404" s="10" t="s">
        <v>21</v>
      </c>
      <c r="D404" s="11" t="s">
        <v>1579</v>
      </c>
      <c r="E404" s="13" t="s">
        <v>560</v>
      </c>
      <c r="F404" s="12" t="s">
        <v>1580</v>
      </c>
      <c r="G404" s="13"/>
      <c r="H404" s="22">
        <v>0</v>
      </c>
      <c r="I404" s="9">
        <f t="shared" ca="1" si="13"/>
        <v>0.74669340697344799</v>
      </c>
    </row>
    <row r="405" spans="1:9" ht="15.75" customHeight="1" x14ac:dyDescent="0.15">
      <c r="A405" s="10">
        <f t="shared" si="12"/>
        <v>404</v>
      </c>
      <c r="B405" s="12" t="s">
        <v>3253</v>
      </c>
      <c r="C405" s="10" t="s">
        <v>21</v>
      </c>
      <c r="D405" s="12" t="s">
        <v>1581</v>
      </c>
      <c r="E405" s="13" t="s">
        <v>134</v>
      </c>
      <c r="F405" s="12" t="s">
        <v>1582</v>
      </c>
      <c r="G405" s="13"/>
      <c r="H405" s="22">
        <v>0</v>
      </c>
      <c r="I405" s="9">
        <f t="shared" ca="1" si="13"/>
        <v>0.78630419891462433</v>
      </c>
    </row>
    <row r="406" spans="1:9" ht="15.75" customHeight="1" x14ac:dyDescent="0.15">
      <c r="A406" s="10">
        <f t="shared" si="12"/>
        <v>405</v>
      </c>
      <c r="B406" s="11" t="s">
        <v>36</v>
      </c>
      <c r="C406" s="10" t="s">
        <v>32</v>
      </c>
      <c r="D406" s="11" t="s">
        <v>1583</v>
      </c>
      <c r="E406" s="12" t="s">
        <v>174</v>
      </c>
      <c r="F406" s="11" t="s">
        <v>1584</v>
      </c>
      <c r="G406" s="13"/>
      <c r="H406" s="22">
        <v>0</v>
      </c>
      <c r="I406" s="9">
        <f t="shared" ca="1" si="13"/>
        <v>0.2151612696850066</v>
      </c>
    </row>
    <row r="407" spans="1:9" ht="15.75" customHeight="1" x14ac:dyDescent="0.15">
      <c r="A407" s="10">
        <f t="shared" si="12"/>
        <v>406</v>
      </c>
      <c r="B407" s="11" t="s">
        <v>36</v>
      </c>
      <c r="C407" s="10" t="s">
        <v>32</v>
      </c>
      <c r="D407" s="11" t="s">
        <v>1585</v>
      </c>
      <c r="E407" s="12" t="s">
        <v>174</v>
      </c>
      <c r="F407" s="11" t="s">
        <v>1586</v>
      </c>
      <c r="G407" s="13"/>
      <c r="H407" s="22">
        <v>0</v>
      </c>
      <c r="I407" s="9">
        <f t="shared" ca="1" si="13"/>
        <v>0.86637065256161927</v>
      </c>
    </row>
    <row r="408" spans="1:9" ht="15.75" customHeight="1" x14ac:dyDescent="0.15">
      <c r="A408" s="10">
        <f t="shared" si="12"/>
        <v>407</v>
      </c>
      <c r="B408" s="11" t="s">
        <v>31</v>
      </c>
      <c r="C408" s="10" t="s">
        <v>21</v>
      </c>
      <c r="D408" s="12" t="s">
        <v>1587</v>
      </c>
      <c r="E408" s="13" t="s">
        <v>1187</v>
      </c>
      <c r="F408" s="12" t="s">
        <v>1588</v>
      </c>
      <c r="G408" s="13"/>
      <c r="H408" s="22">
        <v>0</v>
      </c>
      <c r="I408" s="9">
        <f t="shared" ca="1" si="13"/>
        <v>0.43891886228907107</v>
      </c>
    </row>
    <row r="409" spans="1:9" ht="15.75" customHeight="1" x14ac:dyDescent="0.15">
      <c r="A409" s="10">
        <f t="shared" si="12"/>
        <v>408</v>
      </c>
      <c r="B409" s="12" t="s">
        <v>1266</v>
      </c>
      <c r="C409" s="10" t="s">
        <v>21</v>
      </c>
      <c r="D409" s="12" t="s">
        <v>1589</v>
      </c>
      <c r="E409" s="13" t="s">
        <v>1361</v>
      </c>
      <c r="F409" s="12" t="s">
        <v>1590</v>
      </c>
      <c r="G409" s="13"/>
      <c r="H409" s="22">
        <v>0</v>
      </c>
      <c r="I409" s="9">
        <f t="shared" ca="1" si="13"/>
        <v>0.76195528040865212</v>
      </c>
    </row>
    <row r="410" spans="1:9" ht="15.75" customHeight="1" x14ac:dyDescent="0.15">
      <c r="A410" s="10">
        <f t="shared" si="12"/>
        <v>409</v>
      </c>
      <c r="B410" s="11" t="s">
        <v>31</v>
      </c>
      <c r="C410" s="10" t="s">
        <v>32</v>
      </c>
      <c r="D410" s="11" t="s">
        <v>1591</v>
      </c>
      <c r="E410" s="12" t="s">
        <v>286</v>
      </c>
      <c r="F410" s="11" t="s">
        <v>1592</v>
      </c>
      <c r="G410" s="13"/>
      <c r="H410" s="22">
        <v>0</v>
      </c>
      <c r="I410" s="9">
        <f t="shared" ca="1" si="13"/>
        <v>0.19798273080346507</v>
      </c>
    </row>
    <row r="411" spans="1:9" ht="15.75" customHeight="1" x14ac:dyDescent="0.15">
      <c r="A411" s="10">
        <f t="shared" si="12"/>
        <v>410</v>
      </c>
      <c r="B411" s="12" t="s">
        <v>3253</v>
      </c>
      <c r="C411" s="10" t="s">
        <v>27</v>
      </c>
      <c r="D411" s="12" t="s">
        <v>1593</v>
      </c>
      <c r="E411" s="12" t="s">
        <v>1594</v>
      </c>
      <c r="F411" s="12" t="s">
        <v>1595</v>
      </c>
      <c r="G411" s="13"/>
      <c r="H411" s="22">
        <v>0</v>
      </c>
      <c r="I411" s="9">
        <f t="shared" ca="1" si="13"/>
        <v>0.44880806903798798</v>
      </c>
    </row>
    <row r="412" spans="1:9" ht="15.75" customHeight="1" x14ac:dyDescent="0.15">
      <c r="A412" s="10">
        <f t="shared" si="12"/>
        <v>411</v>
      </c>
      <c r="B412" s="11" t="s">
        <v>36</v>
      </c>
      <c r="C412" s="10" t="s">
        <v>21</v>
      </c>
      <c r="D412" s="11" t="s">
        <v>1596</v>
      </c>
      <c r="E412" s="13" t="s">
        <v>134</v>
      </c>
      <c r="F412" s="11" t="s">
        <v>1597</v>
      </c>
      <c r="G412" s="13"/>
      <c r="H412" s="22">
        <v>0</v>
      </c>
      <c r="I412" s="9">
        <f t="shared" ca="1" si="13"/>
        <v>0.30867054109853886</v>
      </c>
    </row>
    <row r="413" spans="1:9" ht="15.75" customHeight="1" x14ac:dyDescent="0.15">
      <c r="A413" s="10">
        <f t="shared" si="12"/>
        <v>412</v>
      </c>
      <c r="B413" s="11" t="s">
        <v>36</v>
      </c>
      <c r="C413" s="10" t="s">
        <v>27</v>
      </c>
      <c r="D413" s="11" t="s">
        <v>1598</v>
      </c>
      <c r="E413" s="11" t="s">
        <v>1599</v>
      </c>
      <c r="F413" s="11" t="s">
        <v>1600</v>
      </c>
      <c r="G413" s="13"/>
      <c r="H413" s="22">
        <v>0</v>
      </c>
      <c r="I413" s="9">
        <f t="shared" ca="1" si="13"/>
        <v>0.16263527694900748</v>
      </c>
    </row>
    <row r="414" spans="1:9" ht="15.75" customHeight="1" x14ac:dyDescent="0.15">
      <c r="A414" s="10">
        <f t="shared" si="12"/>
        <v>413</v>
      </c>
      <c r="B414" s="12" t="s">
        <v>3253</v>
      </c>
      <c r="C414" s="10" t="s">
        <v>21</v>
      </c>
      <c r="D414" s="11" t="s">
        <v>1601</v>
      </c>
      <c r="E414" s="13" t="s">
        <v>620</v>
      </c>
      <c r="F414" s="12" t="s">
        <v>1602</v>
      </c>
      <c r="G414" s="13"/>
      <c r="H414" s="22">
        <v>0</v>
      </c>
      <c r="I414" s="9">
        <f t="shared" ca="1" si="13"/>
        <v>0.79997617384773634</v>
      </c>
    </row>
    <row r="415" spans="1:9" ht="15.75" hidden="1" customHeight="1" x14ac:dyDescent="0.15">
      <c r="A415" s="10">
        <f t="shared" si="12"/>
        <v>414</v>
      </c>
      <c r="B415" s="11" t="s">
        <v>36</v>
      </c>
      <c r="C415" s="10" t="s">
        <v>16</v>
      </c>
      <c r="D415" s="12" t="s">
        <v>1603</v>
      </c>
      <c r="E415" s="13" t="s">
        <v>127</v>
      </c>
      <c r="F415" s="12" t="s">
        <v>1604</v>
      </c>
      <c r="G415" s="13"/>
      <c r="H415" s="22">
        <v>0</v>
      </c>
      <c r="I415" s="9">
        <f t="shared" ca="1" si="13"/>
        <v>0.15589261208015881</v>
      </c>
    </row>
    <row r="416" spans="1:9" ht="15.75" hidden="1" customHeight="1" x14ac:dyDescent="0.15">
      <c r="A416" s="10">
        <f t="shared" si="12"/>
        <v>415</v>
      </c>
      <c r="B416" s="11" t="s">
        <v>36</v>
      </c>
      <c r="C416" s="10" t="s">
        <v>16</v>
      </c>
      <c r="D416" s="11" t="s">
        <v>1605</v>
      </c>
      <c r="E416" s="13" t="s">
        <v>106</v>
      </c>
      <c r="F416" s="12" t="s">
        <v>1606</v>
      </c>
      <c r="G416" s="13"/>
      <c r="H416" s="22">
        <v>0</v>
      </c>
      <c r="I416" s="9">
        <f t="shared" ca="1" si="13"/>
        <v>1.8086398278895022E-2</v>
      </c>
    </row>
    <row r="417" spans="1:9" ht="15.75" customHeight="1" x14ac:dyDescent="0.15">
      <c r="A417" s="10">
        <f t="shared" si="12"/>
        <v>416</v>
      </c>
      <c r="B417" s="12" t="s">
        <v>3253</v>
      </c>
      <c r="C417" s="10" t="s">
        <v>27</v>
      </c>
      <c r="D417" s="11" t="s">
        <v>1607</v>
      </c>
      <c r="E417" s="11" t="s">
        <v>1608</v>
      </c>
      <c r="F417" s="11" t="s">
        <v>1609</v>
      </c>
      <c r="G417" s="13"/>
      <c r="H417" s="22">
        <v>0</v>
      </c>
      <c r="I417" s="9">
        <f t="shared" ca="1" si="13"/>
        <v>0.18961936049489214</v>
      </c>
    </row>
    <row r="418" spans="1:9" ht="15.75" hidden="1" customHeight="1" x14ac:dyDescent="0.15">
      <c r="A418" s="10">
        <f t="shared" si="12"/>
        <v>417</v>
      </c>
      <c r="B418" s="12" t="s">
        <v>1266</v>
      </c>
      <c r="C418" s="10" t="s">
        <v>16</v>
      </c>
      <c r="D418" s="11" t="s">
        <v>1610</v>
      </c>
      <c r="E418" s="13" t="s">
        <v>127</v>
      </c>
      <c r="F418" s="11" t="s">
        <v>1611</v>
      </c>
      <c r="G418" s="13"/>
      <c r="H418" s="14">
        <v>1</v>
      </c>
      <c r="I418" s="9">
        <f t="shared" ca="1" si="13"/>
        <v>0.22738728786215145</v>
      </c>
    </row>
    <row r="419" spans="1:9" ht="15.75" customHeight="1" x14ac:dyDescent="0.15">
      <c r="A419" s="10">
        <f t="shared" si="12"/>
        <v>418</v>
      </c>
      <c r="B419" s="11" t="s">
        <v>36</v>
      </c>
      <c r="C419" s="10" t="s">
        <v>21</v>
      </c>
      <c r="D419" s="11" t="s">
        <v>1612</v>
      </c>
      <c r="E419" s="13" t="s">
        <v>134</v>
      </c>
      <c r="F419" s="11" t="s">
        <v>1613</v>
      </c>
      <c r="G419" s="13"/>
      <c r="H419" s="22">
        <v>0</v>
      </c>
      <c r="I419" s="9">
        <f t="shared" ca="1" si="13"/>
        <v>0.618667509280595</v>
      </c>
    </row>
    <row r="420" spans="1:9" ht="15.75" customHeight="1" x14ac:dyDescent="0.15">
      <c r="A420" s="10">
        <f t="shared" si="12"/>
        <v>419</v>
      </c>
      <c r="B420" s="10" t="s">
        <v>20</v>
      </c>
      <c r="C420" s="10" t="s">
        <v>27</v>
      </c>
      <c r="D420" s="11" t="s">
        <v>1614</v>
      </c>
      <c r="E420" s="15">
        <v>10024</v>
      </c>
      <c r="F420" s="11" t="s">
        <v>1615</v>
      </c>
      <c r="G420" s="13"/>
      <c r="H420" s="14">
        <v>1</v>
      </c>
      <c r="I420" s="9">
        <f t="shared" ca="1" si="13"/>
        <v>0.13385400055468311</v>
      </c>
    </row>
    <row r="421" spans="1:9" ht="15.75" customHeight="1" x14ac:dyDescent="0.15">
      <c r="A421" s="10">
        <f t="shared" si="12"/>
        <v>420</v>
      </c>
      <c r="B421" s="11" t="s">
        <v>36</v>
      </c>
      <c r="C421" s="10" t="s">
        <v>32</v>
      </c>
      <c r="D421" s="11" t="s">
        <v>1616</v>
      </c>
      <c r="E421" s="12" t="s">
        <v>286</v>
      </c>
      <c r="F421" s="11" t="s">
        <v>1617</v>
      </c>
      <c r="G421" s="13"/>
      <c r="H421" s="22">
        <v>0</v>
      </c>
      <c r="I421" s="9">
        <f t="shared" ca="1" si="13"/>
        <v>0.57275000922777231</v>
      </c>
    </row>
    <row r="422" spans="1:9" ht="15.75" customHeight="1" x14ac:dyDescent="0.15">
      <c r="A422" s="10">
        <f t="shared" si="12"/>
        <v>421</v>
      </c>
      <c r="B422" s="11" t="s">
        <v>36</v>
      </c>
      <c r="C422" s="10" t="s">
        <v>32</v>
      </c>
      <c r="D422" s="11" t="s">
        <v>1618</v>
      </c>
      <c r="E422" s="12" t="s">
        <v>286</v>
      </c>
      <c r="F422" s="11" t="s">
        <v>1619</v>
      </c>
      <c r="G422" s="13"/>
      <c r="H422" s="22">
        <v>0</v>
      </c>
      <c r="I422" s="9">
        <f t="shared" ca="1" si="13"/>
        <v>0.24996050851759533</v>
      </c>
    </row>
    <row r="423" spans="1:9" ht="15.75" hidden="1" customHeight="1" x14ac:dyDescent="0.15">
      <c r="A423" s="10">
        <f t="shared" si="12"/>
        <v>422</v>
      </c>
      <c r="B423" s="11" t="s">
        <v>36</v>
      </c>
      <c r="C423" s="10" t="s">
        <v>11</v>
      </c>
      <c r="D423" s="11" t="s">
        <v>1620</v>
      </c>
      <c r="E423" s="11" t="s">
        <v>1621</v>
      </c>
      <c r="F423" s="11" t="s">
        <v>1622</v>
      </c>
      <c r="G423" s="13"/>
      <c r="H423" s="22">
        <v>0</v>
      </c>
      <c r="I423" s="9">
        <f t="shared" ca="1" si="13"/>
        <v>0.52036676465461273</v>
      </c>
    </row>
    <row r="424" spans="1:9" ht="15.75" customHeight="1" x14ac:dyDescent="0.15">
      <c r="A424" s="10">
        <f t="shared" si="12"/>
        <v>423</v>
      </c>
      <c r="B424" s="11" t="s">
        <v>36</v>
      </c>
      <c r="C424" s="10" t="s">
        <v>27</v>
      </c>
      <c r="D424" s="12" t="s">
        <v>1623</v>
      </c>
      <c r="E424" s="12" t="s">
        <v>1624</v>
      </c>
      <c r="F424" s="12" t="s">
        <v>1625</v>
      </c>
      <c r="G424" s="13"/>
      <c r="H424" s="22">
        <v>0</v>
      </c>
      <c r="I424" s="9">
        <f t="shared" ca="1" si="13"/>
        <v>0.64104124017035913</v>
      </c>
    </row>
    <row r="425" spans="1:9" ht="15.75" hidden="1" customHeight="1" x14ac:dyDescent="0.15">
      <c r="A425" s="10">
        <f t="shared" si="12"/>
        <v>424</v>
      </c>
      <c r="B425" s="10" t="s">
        <v>20</v>
      </c>
      <c r="C425" s="10" t="s">
        <v>11</v>
      </c>
      <c r="D425" s="12" t="s">
        <v>1626</v>
      </c>
      <c r="E425" s="12" t="s">
        <v>1627</v>
      </c>
      <c r="F425" s="11" t="s">
        <v>1628</v>
      </c>
      <c r="G425" s="13"/>
      <c r="H425" s="22">
        <v>0</v>
      </c>
      <c r="I425" s="9">
        <f t="shared" ca="1" si="13"/>
        <v>2.5104589412287881E-2</v>
      </c>
    </row>
    <row r="426" spans="1:9" ht="15.75" customHeight="1" x14ac:dyDescent="0.15">
      <c r="A426" s="10">
        <f t="shared" si="12"/>
        <v>425</v>
      </c>
      <c r="B426" s="12" t="s">
        <v>1266</v>
      </c>
      <c r="C426" s="10" t="s">
        <v>21</v>
      </c>
      <c r="D426" s="12" t="s">
        <v>1629</v>
      </c>
      <c r="E426" s="13" t="s">
        <v>129</v>
      </c>
      <c r="F426" s="12" t="s">
        <v>1630</v>
      </c>
      <c r="G426" s="13"/>
      <c r="H426" s="22">
        <v>0</v>
      </c>
      <c r="I426" s="9">
        <f t="shared" ca="1" si="13"/>
        <v>0.91665111521191867</v>
      </c>
    </row>
    <row r="427" spans="1:9" ht="15.75" hidden="1" customHeight="1" x14ac:dyDescent="0.15">
      <c r="A427" s="10">
        <f t="shared" si="12"/>
        <v>426</v>
      </c>
      <c r="B427" s="11" t="s">
        <v>36</v>
      </c>
      <c r="C427" s="10" t="s">
        <v>11</v>
      </c>
      <c r="D427" s="11" t="s">
        <v>1631</v>
      </c>
      <c r="E427" s="12" t="s">
        <v>1632</v>
      </c>
      <c r="F427" s="11" t="s">
        <v>1633</v>
      </c>
      <c r="G427" s="13"/>
      <c r="H427" s="22">
        <v>0</v>
      </c>
      <c r="I427" s="9">
        <f t="shared" ca="1" si="13"/>
        <v>0.78558921209547838</v>
      </c>
    </row>
    <row r="428" spans="1:9" ht="15.75" hidden="1" customHeight="1" x14ac:dyDescent="0.15">
      <c r="A428" s="10">
        <f t="shared" si="12"/>
        <v>427</v>
      </c>
      <c r="B428" s="12" t="s">
        <v>3253</v>
      </c>
      <c r="C428" s="10" t="s">
        <v>16</v>
      </c>
      <c r="D428" s="11" t="s">
        <v>1634</v>
      </c>
      <c r="E428" s="13" t="s">
        <v>127</v>
      </c>
      <c r="F428" s="12" t="s">
        <v>1635</v>
      </c>
      <c r="G428" s="13"/>
      <c r="H428" s="14">
        <v>1</v>
      </c>
      <c r="I428" s="9">
        <f t="shared" ca="1" si="13"/>
        <v>0.61440145235727062</v>
      </c>
    </row>
    <row r="429" spans="1:9" ht="15.75" customHeight="1" x14ac:dyDescent="0.15">
      <c r="A429" s="10">
        <f t="shared" si="12"/>
        <v>428</v>
      </c>
      <c r="B429" s="11" t="s">
        <v>36</v>
      </c>
      <c r="C429" s="10" t="s">
        <v>21</v>
      </c>
      <c r="D429" s="12" t="s">
        <v>1636</v>
      </c>
      <c r="E429" s="13" t="s">
        <v>601</v>
      </c>
      <c r="F429" s="12" t="s">
        <v>1637</v>
      </c>
      <c r="G429" s="13"/>
      <c r="H429" s="22">
        <v>0</v>
      </c>
      <c r="I429" s="9">
        <f t="shared" ca="1" si="13"/>
        <v>0.79049387769603829</v>
      </c>
    </row>
    <row r="430" spans="1:9" ht="15.75" hidden="1" customHeight="1" x14ac:dyDescent="0.15">
      <c r="A430" s="10">
        <f t="shared" si="12"/>
        <v>429</v>
      </c>
      <c r="B430" s="11" t="s">
        <v>36</v>
      </c>
      <c r="C430" s="10" t="s">
        <v>16</v>
      </c>
      <c r="D430" s="11" t="s">
        <v>1638</v>
      </c>
      <c r="E430" s="13" t="s">
        <v>127</v>
      </c>
      <c r="F430" s="11" t="s">
        <v>1639</v>
      </c>
      <c r="G430" s="13"/>
      <c r="H430" s="22">
        <v>0</v>
      </c>
      <c r="I430" s="9">
        <f t="shared" ca="1" si="13"/>
        <v>0.24596716615467384</v>
      </c>
    </row>
    <row r="431" spans="1:9" ht="15.75" customHeight="1" x14ac:dyDescent="0.15">
      <c r="A431" s="10">
        <f t="shared" si="12"/>
        <v>430</v>
      </c>
      <c r="B431" s="11" t="s">
        <v>36</v>
      </c>
      <c r="C431" s="10" t="s">
        <v>21</v>
      </c>
      <c r="D431" s="12" t="s">
        <v>1640</v>
      </c>
      <c r="E431" s="13" t="s">
        <v>129</v>
      </c>
      <c r="F431" s="12" t="s">
        <v>1641</v>
      </c>
      <c r="G431" s="13"/>
      <c r="H431" s="22">
        <v>0</v>
      </c>
      <c r="I431" s="9">
        <f t="shared" ca="1" si="13"/>
        <v>0.54399422002561426</v>
      </c>
    </row>
    <row r="432" spans="1:9" ht="15.75" customHeight="1" x14ac:dyDescent="0.15">
      <c r="A432" s="10">
        <f t="shared" si="12"/>
        <v>431</v>
      </c>
      <c r="B432" s="12" t="s">
        <v>3253</v>
      </c>
      <c r="C432" s="10" t="s">
        <v>27</v>
      </c>
      <c r="D432" s="11" t="s">
        <v>1642</v>
      </c>
      <c r="E432" s="11" t="s">
        <v>1643</v>
      </c>
      <c r="F432" s="11" t="s">
        <v>1644</v>
      </c>
      <c r="G432" s="13"/>
      <c r="H432" s="22">
        <v>0</v>
      </c>
      <c r="I432" s="9">
        <f t="shared" ca="1" si="13"/>
        <v>0.87774292759237882</v>
      </c>
    </row>
    <row r="433" spans="1:9" ht="15.75" customHeight="1" x14ac:dyDescent="0.15">
      <c r="A433" s="10">
        <f t="shared" si="12"/>
        <v>432</v>
      </c>
      <c r="B433" s="11" t="s">
        <v>31</v>
      </c>
      <c r="C433" s="10" t="s">
        <v>21</v>
      </c>
      <c r="D433" s="12" t="s">
        <v>1645</v>
      </c>
      <c r="E433" s="13" t="s">
        <v>134</v>
      </c>
      <c r="F433" s="12" t="s">
        <v>1646</v>
      </c>
      <c r="G433" s="13"/>
      <c r="H433" s="22">
        <v>0</v>
      </c>
      <c r="I433" s="9">
        <f t="shared" ca="1" si="13"/>
        <v>0.56891132584838877</v>
      </c>
    </row>
    <row r="434" spans="1:9" ht="15.75" customHeight="1" x14ac:dyDescent="0.15">
      <c r="A434" s="10">
        <f t="shared" si="12"/>
        <v>433</v>
      </c>
      <c r="B434" s="12" t="s">
        <v>3253</v>
      </c>
      <c r="C434" s="10" t="s">
        <v>32</v>
      </c>
      <c r="D434" s="11" t="s">
        <v>1647</v>
      </c>
      <c r="E434" s="12" t="s">
        <v>174</v>
      </c>
      <c r="F434" s="11" t="s">
        <v>1648</v>
      </c>
      <c r="G434" s="13"/>
      <c r="H434" s="22">
        <v>0</v>
      </c>
      <c r="I434" s="9">
        <f t="shared" ca="1" si="13"/>
        <v>0.52344782142724322</v>
      </c>
    </row>
    <row r="435" spans="1:9" ht="15.75" customHeight="1" x14ac:dyDescent="0.15">
      <c r="A435" s="10">
        <f t="shared" si="12"/>
        <v>434</v>
      </c>
      <c r="B435" s="10" t="s">
        <v>20</v>
      </c>
      <c r="C435" s="10" t="s">
        <v>32</v>
      </c>
      <c r="D435" s="11" t="s">
        <v>1649</v>
      </c>
      <c r="E435" s="12" t="s">
        <v>286</v>
      </c>
      <c r="F435" s="11" t="s">
        <v>1650</v>
      </c>
      <c r="G435" s="13"/>
      <c r="H435" s="22">
        <v>0</v>
      </c>
      <c r="I435" s="9">
        <f t="shared" ca="1" si="13"/>
        <v>0.40867557163679624</v>
      </c>
    </row>
    <row r="436" spans="1:9" ht="15.75" hidden="1" customHeight="1" x14ac:dyDescent="0.15">
      <c r="A436" s="10">
        <f t="shared" si="12"/>
        <v>435</v>
      </c>
      <c r="B436" s="12" t="s">
        <v>3253</v>
      </c>
      <c r="C436" s="10" t="s">
        <v>16</v>
      </c>
      <c r="D436" s="12" t="s">
        <v>1651</v>
      </c>
      <c r="E436" s="13" t="s">
        <v>127</v>
      </c>
      <c r="F436" s="12" t="s">
        <v>1652</v>
      </c>
      <c r="G436" s="13"/>
      <c r="H436" s="22">
        <v>0</v>
      </c>
      <c r="I436" s="9">
        <f t="shared" ca="1" si="13"/>
        <v>0.19454883648355981</v>
      </c>
    </row>
    <row r="437" spans="1:9" ht="15.75" hidden="1" customHeight="1" x14ac:dyDescent="0.15">
      <c r="A437" s="10">
        <f t="shared" si="12"/>
        <v>436</v>
      </c>
      <c r="B437" s="11" t="s">
        <v>31</v>
      </c>
      <c r="C437" s="10" t="s">
        <v>16</v>
      </c>
      <c r="D437" s="11" t="s">
        <v>1653</v>
      </c>
      <c r="E437" s="13" t="s">
        <v>98</v>
      </c>
      <c r="F437" s="11" t="s">
        <v>1654</v>
      </c>
      <c r="G437" s="13"/>
      <c r="H437" s="14">
        <v>1</v>
      </c>
      <c r="I437" s="9">
        <f t="shared" ca="1" si="13"/>
        <v>0.92056532875867625</v>
      </c>
    </row>
    <row r="438" spans="1:9" ht="15.75" customHeight="1" x14ac:dyDescent="0.15">
      <c r="A438" s="10">
        <f t="shared" si="12"/>
        <v>437</v>
      </c>
      <c r="B438" s="11" t="s">
        <v>36</v>
      </c>
      <c r="C438" s="10" t="s">
        <v>27</v>
      </c>
      <c r="D438" s="11" t="s">
        <v>1655</v>
      </c>
      <c r="E438" s="11" t="s">
        <v>1656</v>
      </c>
      <c r="F438" s="11" t="s">
        <v>1657</v>
      </c>
      <c r="G438" s="13"/>
      <c r="H438" s="22">
        <v>0</v>
      </c>
      <c r="I438" s="9">
        <f t="shared" ca="1" si="13"/>
        <v>0.30979850762482586</v>
      </c>
    </row>
    <row r="439" spans="1:9" ht="15.75" customHeight="1" x14ac:dyDescent="0.15">
      <c r="A439" s="10">
        <f t="shared" si="12"/>
        <v>438</v>
      </c>
      <c r="B439" s="12" t="s">
        <v>3253</v>
      </c>
      <c r="C439" s="10" t="s">
        <v>32</v>
      </c>
      <c r="D439" s="11" t="s">
        <v>1658</v>
      </c>
      <c r="E439" s="12" t="s">
        <v>174</v>
      </c>
      <c r="F439" s="11" t="s">
        <v>1659</v>
      </c>
      <c r="G439" s="13"/>
      <c r="H439" s="22">
        <v>0</v>
      </c>
      <c r="I439" s="9">
        <f t="shared" ca="1" si="13"/>
        <v>0.62726366006601497</v>
      </c>
    </row>
    <row r="440" spans="1:9" ht="15.75" hidden="1" customHeight="1" x14ac:dyDescent="0.15">
      <c r="A440" s="10">
        <f t="shared" si="12"/>
        <v>439</v>
      </c>
      <c r="B440" s="10" t="s">
        <v>20</v>
      </c>
      <c r="C440" s="10" t="s">
        <v>11</v>
      </c>
      <c r="D440" s="11" t="s">
        <v>1660</v>
      </c>
      <c r="E440" s="11" t="s">
        <v>1661</v>
      </c>
      <c r="F440" s="11" t="s">
        <v>1662</v>
      </c>
      <c r="G440" s="13"/>
      <c r="H440" s="14">
        <v>1</v>
      </c>
      <c r="I440" s="9">
        <f t="shared" ca="1" si="13"/>
        <v>0.48656264927577075</v>
      </c>
    </row>
    <row r="441" spans="1:9" ht="15.75" hidden="1" customHeight="1" x14ac:dyDescent="0.15">
      <c r="A441" s="10">
        <f t="shared" si="12"/>
        <v>440</v>
      </c>
      <c r="B441" s="11" t="s">
        <v>31</v>
      </c>
      <c r="C441" s="10" t="s">
        <v>11</v>
      </c>
      <c r="D441" s="11" t="s">
        <v>1663</v>
      </c>
      <c r="E441" s="12" t="s">
        <v>1664</v>
      </c>
      <c r="F441" s="11" t="s">
        <v>1665</v>
      </c>
      <c r="G441" s="13"/>
      <c r="H441" s="22">
        <v>0</v>
      </c>
      <c r="I441" s="9">
        <f t="shared" ca="1" si="13"/>
        <v>0.40272517829979049</v>
      </c>
    </row>
    <row r="442" spans="1:9" ht="15.75" customHeight="1" x14ac:dyDescent="0.15">
      <c r="A442" s="10">
        <f t="shared" si="12"/>
        <v>441</v>
      </c>
      <c r="B442" s="11" t="s">
        <v>31</v>
      </c>
      <c r="C442" s="10" t="s">
        <v>27</v>
      </c>
      <c r="D442" s="12" t="s">
        <v>1666</v>
      </c>
      <c r="E442" s="12" t="s">
        <v>1667</v>
      </c>
      <c r="F442" s="12" t="s">
        <v>1668</v>
      </c>
      <c r="G442" s="13"/>
      <c r="H442" s="22">
        <v>0</v>
      </c>
      <c r="I442" s="9">
        <f t="shared" ca="1" si="13"/>
        <v>0.6223606396769642</v>
      </c>
    </row>
    <row r="443" spans="1:9" ht="15.75" customHeight="1" x14ac:dyDescent="0.15">
      <c r="A443" s="10">
        <f t="shared" si="12"/>
        <v>442</v>
      </c>
      <c r="B443" s="10" t="s">
        <v>20</v>
      </c>
      <c r="C443" s="10" t="s">
        <v>32</v>
      </c>
      <c r="D443" s="11" t="s">
        <v>1669</v>
      </c>
      <c r="E443" s="12" t="s">
        <v>174</v>
      </c>
      <c r="F443" s="11" t="s">
        <v>1670</v>
      </c>
      <c r="G443" s="13"/>
      <c r="H443" s="22">
        <v>0</v>
      </c>
      <c r="I443" s="9">
        <f t="shared" ca="1" si="13"/>
        <v>0.31567558729204959</v>
      </c>
    </row>
    <row r="444" spans="1:9" ht="15.75" customHeight="1" x14ac:dyDescent="0.15">
      <c r="A444" s="10">
        <f t="shared" si="12"/>
        <v>443</v>
      </c>
      <c r="B444" s="12" t="s">
        <v>3253</v>
      </c>
      <c r="C444" s="10" t="s">
        <v>27</v>
      </c>
      <c r="D444" s="11" t="s">
        <v>1671</v>
      </c>
      <c r="E444" s="11" t="s">
        <v>1672</v>
      </c>
      <c r="F444" s="11" t="s">
        <v>1673</v>
      </c>
      <c r="G444" s="13"/>
      <c r="H444" s="22">
        <v>0</v>
      </c>
      <c r="I444" s="9">
        <f t="shared" ca="1" si="13"/>
        <v>0.55499020024842527</v>
      </c>
    </row>
    <row r="445" spans="1:9" ht="15.75" hidden="1" customHeight="1" x14ac:dyDescent="0.15">
      <c r="A445" s="10">
        <f t="shared" si="12"/>
        <v>444</v>
      </c>
      <c r="B445" s="11" t="s">
        <v>36</v>
      </c>
      <c r="C445" s="10" t="s">
        <v>11</v>
      </c>
      <c r="D445" s="11" t="s">
        <v>1674</v>
      </c>
      <c r="E445" s="11" t="s">
        <v>1675</v>
      </c>
      <c r="F445" s="11" t="s">
        <v>1676</v>
      </c>
      <c r="G445" s="13"/>
      <c r="H445" s="14">
        <v>1</v>
      </c>
      <c r="I445" s="9">
        <f t="shared" ca="1" si="13"/>
        <v>0.92117904877719958</v>
      </c>
    </row>
    <row r="446" spans="1:9" ht="15.75" customHeight="1" x14ac:dyDescent="0.15">
      <c r="A446" s="10">
        <f t="shared" si="12"/>
        <v>445</v>
      </c>
      <c r="B446" s="10" t="s">
        <v>20</v>
      </c>
      <c r="C446" s="10" t="s">
        <v>32</v>
      </c>
      <c r="D446" s="11" t="s">
        <v>1677</v>
      </c>
      <c r="E446" s="12" t="s">
        <v>174</v>
      </c>
      <c r="F446" s="11" t="s">
        <v>1678</v>
      </c>
      <c r="G446" s="13"/>
      <c r="H446" s="22">
        <v>0</v>
      </c>
      <c r="I446" s="9">
        <f t="shared" ca="1" si="13"/>
        <v>3.7868404054647198E-2</v>
      </c>
    </row>
    <row r="447" spans="1:9" ht="15.75" customHeight="1" x14ac:dyDescent="0.15">
      <c r="A447" s="10">
        <f t="shared" si="12"/>
        <v>446</v>
      </c>
      <c r="B447" s="10" t="s">
        <v>20</v>
      </c>
      <c r="C447" s="10" t="s">
        <v>32</v>
      </c>
      <c r="D447" s="11" t="s">
        <v>1679</v>
      </c>
      <c r="E447" s="12" t="s">
        <v>174</v>
      </c>
      <c r="F447" s="11" t="s">
        <v>1680</v>
      </c>
      <c r="G447" s="13"/>
      <c r="H447" s="22">
        <v>0</v>
      </c>
      <c r="I447" s="9">
        <f t="shared" ca="1" si="13"/>
        <v>0.9776129071050127</v>
      </c>
    </row>
    <row r="448" spans="1:9" ht="15.75" customHeight="1" x14ac:dyDescent="0.15">
      <c r="A448" s="10">
        <f t="shared" si="12"/>
        <v>447</v>
      </c>
      <c r="B448" s="11" t="s">
        <v>36</v>
      </c>
      <c r="C448" s="10" t="s">
        <v>21</v>
      </c>
      <c r="D448" s="12" t="s">
        <v>1681</v>
      </c>
      <c r="E448" s="13" t="s">
        <v>1361</v>
      </c>
      <c r="F448" s="12" t="s">
        <v>1682</v>
      </c>
      <c r="G448" s="13"/>
      <c r="H448" s="22">
        <v>0</v>
      </c>
      <c r="I448" s="9">
        <f t="shared" ca="1" si="13"/>
        <v>0.65889747290573719</v>
      </c>
    </row>
    <row r="449" spans="1:9" ht="15.75" customHeight="1" x14ac:dyDescent="0.15">
      <c r="A449" s="10">
        <f t="shared" si="12"/>
        <v>448</v>
      </c>
      <c r="B449" s="10" t="s">
        <v>20</v>
      </c>
      <c r="C449" s="10" t="s">
        <v>21</v>
      </c>
      <c r="D449" s="12" t="s">
        <v>1683</v>
      </c>
      <c r="E449" s="13" t="s">
        <v>601</v>
      </c>
      <c r="F449" s="12" t="s">
        <v>1684</v>
      </c>
      <c r="G449" s="13"/>
      <c r="H449" s="22">
        <v>0</v>
      </c>
      <c r="I449" s="9">
        <f t="shared" ca="1" si="13"/>
        <v>0.34220842141599395</v>
      </c>
    </row>
    <row r="450" spans="1:9" ht="15.75" customHeight="1" x14ac:dyDescent="0.15">
      <c r="A450" s="10">
        <f t="shared" si="12"/>
        <v>449</v>
      </c>
      <c r="B450" s="12" t="s">
        <v>1266</v>
      </c>
      <c r="C450" s="10" t="s">
        <v>27</v>
      </c>
      <c r="D450" s="12" t="s">
        <v>1685</v>
      </c>
      <c r="E450" s="12" t="s">
        <v>1686</v>
      </c>
      <c r="F450" s="12" t="s">
        <v>1687</v>
      </c>
      <c r="G450" s="13"/>
      <c r="H450" s="22">
        <v>0</v>
      </c>
      <c r="I450" s="9">
        <f t="shared" ca="1" si="13"/>
        <v>0.89432686162381969</v>
      </c>
    </row>
    <row r="451" spans="1:9" ht="15.75" hidden="1" customHeight="1" x14ac:dyDescent="0.15">
      <c r="A451" s="10">
        <f t="shared" ref="A451:A514" si="14">ROW() - 1</f>
        <v>450</v>
      </c>
      <c r="B451" s="10" t="s">
        <v>20</v>
      </c>
      <c r="C451" s="10" t="s">
        <v>16</v>
      </c>
      <c r="D451" s="12" t="s">
        <v>1688</v>
      </c>
      <c r="E451" s="13" t="s">
        <v>159</v>
      </c>
      <c r="F451" s="12" t="s">
        <v>1689</v>
      </c>
      <c r="G451" s="13"/>
      <c r="H451" s="14">
        <v>1</v>
      </c>
      <c r="I451" s="9">
        <f t="shared" ca="1" si="13"/>
        <v>0.95919149260544834</v>
      </c>
    </row>
    <row r="452" spans="1:9" ht="15.75" hidden="1" customHeight="1" x14ac:dyDescent="0.15">
      <c r="A452" s="10">
        <f t="shared" si="14"/>
        <v>451</v>
      </c>
      <c r="B452" s="12" t="s">
        <v>20</v>
      </c>
      <c r="C452" s="10" t="s">
        <v>16</v>
      </c>
      <c r="D452" s="12" t="s">
        <v>1690</v>
      </c>
      <c r="E452" s="13" t="s">
        <v>127</v>
      </c>
      <c r="F452" s="11" t="s">
        <v>1691</v>
      </c>
      <c r="G452" s="13"/>
      <c r="H452" s="22">
        <v>0</v>
      </c>
      <c r="I452" s="9">
        <f t="shared" ref="I452:I515" ca="1" si="15">RAND()</f>
        <v>0.66909994374662618</v>
      </c>
    </row>
    <row r="453" spans="1:9" ht="15.75" customHeight="1" x14ac:dyDescent="0.15">
      <c r="A453" s="10">
        <f t="shared" si="14"/>
        <v>452</v>
      </c>
      <c r="B453" s="11" t="s">
        <v>36</v>
      </c>
      <c r="C453" s="10" t="s">
        <v>21</v>
      </c>
      <c r="D453" s="11" t="s">
        <v>1692</v>
      </c>
      <c r="E453" s="13" t="s">
        <v>132</v>
      </c>
      <c r="F453" s="11" t="s">
        <v>1693</v>
      </c>
      <c r="G453" s="13"/>
      <c r="H453" s="22">
        <v>0</v>
      </c>
      <c r="I453" s="9">
        <f t="shared" ca="1" si="15"/>
        <v>0.42751547273382484</v>
      </c>
    </row>
    <row r="454" spans="1:9" ht="15.75" customHeight="1" x14ac:dyDescent="0.15">
      <c r="A454" s="10">
        <f t="shared" si="14"/>
        <v>453</v>
      </c>
      <c r="B454" s="12" t="s">
        <v>3253</v>
      </c>
      <c r="C454" s="10" t="s">
        <v>27</v>
      </c>
      <c r="D454" s="12" t="s">
        <v>1694</v>
      </c>
      <c r="E454" s="12" t="s">
        <v>1695</v>
      </c>
      <c r="F454" s="12" t="s">
        <v>1696</v>
      </c>
      <c r="G454" s="13"/>
      <c r="H454" s="22">
        <v>0</v>
      </c>
      <c r="I454" s="9">
        <f t="shared" ca="1" si="15"/>
        <v>0.58650036779171189</v>
      </c>
    </row>
    <row r="455" spans="1:9" ht="15.75" customHeight="1" x14ac:dyDescent="0.15">
      <c r="A455" s="10">
        <f t="shared" si="14"/>
        <v>454</v>
      </c>
      <c r="B455" s="10" t="s">
        <v>20</v>
      </c>
      <c r="C455" s="10" t="s">
        <v>21</v>
      </c>
      <c r="D455" s="12" t="s">
        <v>1697</v>
      </c>
      <c r="E455" s="13" t="s">
        <v>241</v>
      </c>
      <c r="F455" s="12" t="s">
        <v>1698</v>
      </c>
      <c r="G455" s="13"/>
      <c r="H455" s="22">
        <v>0</v>
      </c>
      <c r="I455" s="9">
        <f t="shared" ca="1" si="15"/>
        <v>0.62730410000043546</v>
      </c>
    </row>
    <row r="456" spans="1:9" ht="15.75" customHeight="1" x14ac:dyDescent="0.15">
      <c r="A456" s="10">
        <f t="shared" si="14"/>
        <v>455</v>
      </c>
      <c r="B456" s="10" t="s">
        <v>20</v>
      </c>
      <c r="C456" s="10" t="s">
        <v>27</v>
      </c>
      <c r="D456" s="11" t="s">
        <v>1699</v>
      </c>
      <c r="E456" s="15">
        <v>16384</v>
      </c>
      <c r="F456" s="11" t="s">
        <v>1700</v>
      </c>
      <c r="G456" s="13"/>
      <c r="H456" s="14">
        <v>1</v>
      </c>
      <c r="I456" s="9">
        <f t="shared" ca="1" si="15"/>
        <v>7.3033326183599812E-2</v>
      </c>
    </row>
    <row r="457" spans="1:9" ht="15.75" hidden="1" customHeight="1" x14ac:dyDescent="0.15">
      <c r="A457" s="10">
        <f t="shared" si="14"/>
        <v>456</v>
      </c>
      <c r="B457" s="11" t="s">
        <v>36</v>
      </c>
      <c r="C457" s="10" t="s">
        <v>11</v>
      </c>
      <c r="D457" s="11" t="s">
        <v>1701</v>
      </c>
      <c r="E457" s="12" t="s">
        <v>1702</v>
      </c>
      <c r="F457" s="11" t="s">
        <v>1703</v>
      </c>
      <c r="G457" s="13"/>
      <c r="H457" s="22">
        <v>0</v>
      </c>
      <c r="I457" s="9">
        <f t="shared" ca="1" si="15"/>
        <v>0.42471592679926462</v>
      </c>
    </row>
    <row r="458" spans="1:9" ht="15.75" hidden="1" customHeight="1" x14ac:dyDescent="0.15">
      <c r="A458" s="10">
        <f t="shared" si="14"/>
        <v>457</v>
      </c>
      <c r="B458" s="11" t="s">
        <v>36</v>
      </c>
      <c r="C458" s="10" t="s">
        <v>16</v>
      </c>
      <c r="D458" s="11" t="s">
        <v>1704</v>
      </c>
      <c r="E458" s="13" t="s">
        <v>106</v>
      </c>
      <c r="F458" s="11" t="s">
        <v>1705</v>
      </c>
      <c r="G458" s="13"/>
      <c r="H458" s="22">
        <v>0</v>
      </c>
      <c r="I458" s="9">
        <f t="shared" ca="1" si="15"/>
        <v>0.20315615540438503</v>
      </c>
    </row>
    <row r="459" spans="1:9" ht="15.75" customHeight="1" x14ac:dyDescent="0.15">
      <c r="A459" s="10">
        <f t="shared" si="14"/>
        <v>458</v>
      </c>
      <c r="B459" s="11" t="s">
        <v>36</v>
      </c>
      <c r="C459" s="10" t="s">
        <v>27</v>
      </c>
      <c r="D459" s="11" t="s">
        <v>1706</v>
      </c>
      <c r="E459" s="11" t="s">
        <v>1707</v>
      </c>
      <c r="F459" s="11" t="s">
        <v>1708</v>
      </c>
      <c r="G459" s="13"/>
      <c r="H459" s="22">
        <v>0</v>
      </c>
      <c r="I459" s="9">
        <f t="shared" ca="1" si="15"/>
        <v>0.37010415548030784</v>
      </c>
    </row>
    <row r="460" spans="1:9" ht="15.75" customHeight="1" x14ac:dyDescent="0.15">
      <c r="A460" s="10">
        <f t="shared" si="14"/>
        <v>459</v>
      </c>
      <c r="B460" s="10" t="s">
        <v>20</v>
      </c>
      <c r="C460" s="10" t="s">
        <v>21</v>
      </c>
      <c r="D460" s="12" t="s">
        <v>1709</v>
      </c>
      <c r="E460" s="13" t="s">
        <v>134</v>
      </c>
      <c r="F460" s="12" t="s">
        <v>1710</v>
      </c>
      <c r="G460" s="13"/>
      <c r="H460" s="22">
        <v>0</v>
      </c>
      <c r="I460" s="9">
        <f t="shared" ca="1" si="15"/>
        <v>0.63152555804627131</v>
      </c>
    </row>
    <row r="461" spans="1:9" ht="15.75" hidden="1" customHeight="1" x14ac:dyDescent="0.15">
      <c r="A461" s="10">
        <f t="shared" si="14"/>
        <v>460</v>
      </c>
      <c r="B461" s="12" t="s">
        <v>3253</v>
      </c>
      <c r="C461" s="10" t="s">
        <v>11</v>
      </c>
      <c r="D461" s="12" t="s">
        <v>1711</v>
      </c>
      <c r="E461" s="12" t="s">
        <v>1712</v>
      </c>
      <c r="F461" s="11" t="s">
        <v>1713</v>
      </c>
      <c r="G461" s="13"/>
      <c r="H461" s="22">
        <v>0</v>
      </c>
      <c r="I461" s="9">
        <f t="shared" ca="1" si="15"/>
        <v>0.59325555764335569</v>
      </c>
    </row>
    <row r="462" spans="1:9" ht="15.75" customHeight="1" x14ac:dyDescent="0.15">
      <c r="A462" s="10">
        <f t="shared" si="14"/>
        <v>461</v>
      </c>
      <c r="B462" s="11" t="s">
        <v>36</v>
      </c>
      <c r="C462" s="10" t="s">
        <v>27</v>
      </c>
      <c r="D462" s="12" t="s">
        <v>1714</v>
      </c>
      <c r="E462" s="12" t="s">
        <v>1715</v>
      </c>
      <c r="F462" s="12" t="s">
        <v>1716</v>
      </c>
      <c r="G462" s="13"/>
      <c r="H462" s="22">
        <v>0</v>
      </c>
      <c r="I462" s="9">
        <f t="shared" ca="1" si="15"/>
        <v>0.51531624180579461</v>
      </c>
    </row>
    <row r="463" spans="1:9" ht="15.75" customHeight="1" x14ac:dyDescent="0.15">
      <c r="A463" s="10">
        <f t="shared" si="14"/>
        <v>462</v>
      </c>
      <c r="B463" s="11" t="s">
        <v>36</v>
      </c>
      <c r="C463" s="10" t="s">
        <v>21</v>
      </c>
      <c r="D463" s="11" t="s">
        <v>1717</v>
      </c>
      <c r="E463" s="13" t="s">
        <v>1187</v>
      </c>
      <c r="F463" s="11" t="s">
        <v>1718</v>
      </c>
      <c r="G463" s="13"/>
      <c r="H463" s="22">
        <v>0</v>
      </c>
      <c r="I463" s="9">
        <f t="shared" ca="1" si="15"/>
        <v>0.707815661612894</v>
      </c>
    </row>
    <row r="464" spans="1:9" ht="15.75" customHeight="1" x14ac:dyDescent="0.15">
      <c r="A464" s="10">
        <f t="shared" si="14"/>
        <v>463</v>
      </c>
      <c r="B464" s="11" t="s">
        <v>36</v>
      </c>
      <c r="C464" s="10" t="s">
        <v>32</v>
      </c>
      <c r="D464" s="11" t="s">
        <v>1719</v>
      </c>
      <c r="E464" s="12" t="s">
        <v>286</v>
      </c>
      <c r="F464" s="11" t="s">
        <v>1720</v>
      </c>
      <c r="G464" s="13"/>
      <c r="H464" s="22">
        <v>0</v>
      </c>
      <c r="I464" s="9">
        <f t="shared" ca="1" si="15"/>
        <v>0.49583191365442925</v>
      </c>
    </row>
    <row r="465" spans="1:9" ht="15.75" hidden="1" customHeight="1" x14ac:dyDescent="0.15">
      <c r="A465" s="10">
        <f t="shared" si="14"/>
        <v>464</v>
      </c>
      <c r="B465" s="12" t="s">
        <v>1266</v>
      </c>
      <c r="C465" s="10" t="s">
        <v>16</v>
      </c>
      <c r="D465" s="11" t="s">
        <v>1721</v>
      </c>
      <c r="E465" s="13" t="s">
        <v>98</v>
      </c>
      <c r="F465" s="12" t="s">
        <v>1722</v>
      </c>
      <c r="G465" s="13"/>
      <c r="H465" s="14">
        <v>1</v>
      </c>
      <c r="I465" s="9">
        <f t="shared" ca="1" si="15"/>
        <v>0.51940480113888765</v>
      </c>
    </row>
    <row r="466" spans="1:9" ht="15.75" hidden="1" customHeight="1" x14ac:dyDescent="0.15">
      <c r="A466" s="10">
        <f t="shared" si="14"/>
        <v>465</v>
      </c>
      <c r="B466" s="12" t="s">
        <v>1266</v>
      </c>
      <c r="C466" s="10" t="s">
        <v>16</v>
      </c>
      <c r="D466" s="11" t="s">
        <v>1723</v>
      </c>
      <c r="E466" s="13" t="s">
        <v>106</v>
      </c>
      <c r="F466" s="11" t="s">
        <v>1724</v>
      </c>
      <c r="G466" s="13"/>
      <c r="H466" s="14">
        <v>1</v>
      </c>
      <c r="I466" s="9">
        <f t="shared" ca="1" si="15"/>
        <v>0.19613380890674947</v>
      </c>
    </row>
    <row r="467" spans="1:9" ht="15.75" customHeight="1" x14ac:dyDescent="0.15">
      <c r="A467" s="10">
        <f t="shared" si="14"/>
        <v>466</v>
      </c>
      <c r="B467" s="12" t="s">
        <v>3253</v>
      </c>
      <c r="C467" s="10" t="s">
        <v>32</v>
      </c>
      <c r="D467" s="11" t="s">
        <v>1725</v>
      </c>
      <c r="E467" s="12" t="s">
        <v>174</v>
      </c>
      <c r="F467" s="11" t="s">
        <v>1726</v>
      </c>
      <c r="G467" s="13"/>
      <c r="H467" s="22">
        <v>0</v>
      </c>
      <c r="I467" s="9">
        <f t="shared" ca="1" si="15"/>
        <v>0.72162703591453703</v>
      </c>
    </row>
    <row r="468" spans="1:9" ht="15.75" hidden="1" customHeight="1" x14ac:dyDescent="0.15">
      <c r="A468" s="10">
        <f t="shared" si="14"/>
        <v>467</v>
      </c>
      <c r="B468" s="11" t="s">
        <v>31</v>
      </c>
      <c r="C468" s="10" t="s">
        <v>11</v>
      </c>
      <c r="D468" s="11" t="s">
        <v>1727</v>
      </c>
      <c r="E468" s="12" t="s">
        <v>1728</v>
      </c>
      <c r="F468" s="11" t="s">
        <v>1729</v>
      </c>
      <c r="G468" s="13"/>
      <c r="H468" s="22">
        <v>0</v>
      </c>
      <c r="I468" s="9">
        <f t="shared" ca="1" si="15"/>
        <v>0.76294032508875842</v>
      </c>
    </row>
    <row r="469" spans="1:9" ht="15.75" customHeight="1" x14ac:dyDescent="0.15">
      <c r="A469" s="10">
        <f t="shared" si="14"/>
        <v>468</v>
      </c>
      <c r="B469" s="11" t="s">
        <v>31</v>
      </c>
      <c r="C469" s="10" t="s">
        <v>21</v>
      </c>
      <c r="D469" s="12" t="s">
        <v>1730</v>
      </c>
      <c r="E469" s="13" t="s">
        <v>1187</v>
      </c>
      <c r="F469" s="12" t="s">
        <v>1731</v>
      </c>
      <c r="G469" s="13"/>
      <c r="H469" s="22">
        <v>0</v>
      </c>
      <c r="I469" s="9">
        <f t="shared" ca="1" si="15"/>
        <v>0.81277123135977591</v>
      </c>
    </row>
    <row r="470" spans="1:9" ht="15.75" customHeight="1" x14ac:dyDescent="0.15">
      <c r="A470" s="10">
        <f t="shared" si="14"/>
        <v>469</v>
      </c>
      <c r="B470" s="10" t="s">
        <v>20</v>
      </c>
      <c r="C470" s="10" t="s">
        <v>27</v>
      </c>
      <c r="D470" s="11" t="s">
        <v>1732</v>
      </c>
      <c r="E470" s="15">
        <v>10</v>
      </c>
      <c r="F470" s="11" t="s">
        <v>1733</v>
      </c>
      <c r="G470" s="13"/>
      <c r="H470" s="14">
        <v>1</v>
      </c>
      <c r="I470" s="9">
        <f t="shared" ca="1" si="15"/>
        <v>0.25497258562147729</v>
      </c>
    </row>
    <row r="471" spans="1:9" ht="15.75" hidden="1" customHeight="1" x14ac:dyDescent="0.15">
      <c r="A471" s="10">
        <f t="shared" si="14"/>
        <v>470</v>
      </c>
      <c r="B471" s="12" t="s">
        <v>3253</v>
      </c>
      <c r="C471" s="10" t="s">
        <v>11</v>
      </c>
      <c r="D471" s="12" t="s">
        <v>1734</v>
      </c>
      <c r="E471" s="12" t="s">
        <v>1735</v>
      </c>
      <c r="F471" s="11" t="s">
        <v>1736</v>
      </c>
      <c r="G471" s="13"/>
      <c r="H471" s="22">
        <v>0</v>
      </c>
      <c r="I471" s="9">
        <f t="shared" ca="1" si="15"/>
        <v>5.6543140296579808E-2</v>
      </c>
    </row>
    <row r="472" spans="1:9" ht="15.75" customHeight="1" x14ac:dyDescent="0.15">
      <c r="A472" s="10">
        <f t="shared" si="14"/>
        <v>471</v>
      </c>
      <c r="B472" s="12" t="s">
        <v>3253</v>
      </c>
      <c r="C472" s="10" t="s">
        <v>32</v>
      </c>
      <c r="D472" s="11" t="s">
        <v>1737</v>
      </c>
      <c r="E472" s="12" t="s">
        <v>174</v>
      </c>
      <c r="F472" s="11" t="s">
        <v>1738</v>
      </c>
      <c r="G472" s="13"/>
      <c r="H472" s="22">
        <v>0</v>
      </c>
      <c r="I472" s="9">
        <f t="shared" ca="1" si="15"/>
        <v>0.49061484101202368</v>
      </c>
    </row>
    <row r="473" spans="1:9" ht="15.75" hidden="1" customHeight="1" x14ac:dyDescent="0.15">
      <c r="A473" s="10">
        <f t="shared" si="14"/>
        <v>472</v>
      </c>
      <c r="B473" s="11" t="s">
        <v>36</v>
      </c>
      <c r="C473" s="10" t="s">
        <v>11</v>
      </c>
      <c r="D473" s="11" t="s">
        <v>1739</v>
      </c>
      <c r="E473" s="12" t="s">
        <v>1740</v>
      </c>
      <c r="F473" s="11" t="s">
        <v>1741</v>
      </c>
      <c r="G473" s="13"/>
      <c r="H473" s="14">
        <v>1</v>
      </c>
      <c r="I473" s="9">
        <f t="shared" ca="1" si="15"/>
        <v>0.59869225334440557</v>
      </c>
    </row>
    <row r="474" spans="1:9" ht="15.75" hidden="1" customHeight="1" x14ac:dyDescent="0.15">
      <c r="A474" s="10">
        <f t="shared" si="14"/>
        <v>473</v>
      </c>
      <c r="B474" s="11" t="s">
        <v>36</v>
      </c>
      <c r="C474" s="10" t="s">
        <v>11</v>
      </c>
      <c r="D474" s="11" t="s">
        <v>1742</v>
      </c>
      <c r="E474" s="12" t="s">
        <v>1743</v>
      </c>
      <c r="F474" s="11" t="s">
        <v>1744</v>
      </c>
      <c r="G474" s="13"/>
      <c r="H474" s="22">
        <v>0</v>
      </c>
      <c r="I474" s="9">
        <f t="shared" ca="1" si="15"/>
        <v>0.72638374186315058</v>
      </c>
    </row>
    <row r="475" spans="1:9" ht="15.75" customHeight="1" x14ac:dyDescent="0.15">
      <c r="A475" s="10">
        <f t="shared" si="14"/>
        <v>474</v>
      </c>
      <c r="B475" s="11" t="s">
        <v>36</v>
      </c>
      <c r="C475" s="10" t="s">
        <v>27</v>
      </c>
      <c r="D475" s="12" t="s">
        <v>1745</v>
      </c>
      <c r="E475" s="12" t="s">
        <v>1746</v>
      </c>
      <c r="F475" s="12" t="s">
        <v>1747</v>
      </c>
      <c r="G475" s="13"/>
      <c r="H475" s="22">
        <v>0</v>
      </c>
      <c r="I475" s="9">
        <f t="shared" ca="1" si="15"/>
        <v>0.88953665899899725</v>
      </c>
    </row>
    <row r="476" spans="1:9" ht="15.75" hidden="1" customHeight="1" x14ac:dyDescent="0.15">
      <c r="A476" s="10">
        <f t="shared" si="14"/>
        <v>475</v>
      </c>
      <c r="B476" s="12" t="s">
        <v>1266</v>
      </c>
      <c r="C476" s="10" t="s">
        <v>16</v>
      </c>
      <c r="D476" s="11" t="s">
        <v>1748</v>
      </c>
      <c r="E476" s="13" t="s">
        <v>106</v>
      </c>
      <c r="F476" s="11" t="s">
        <v>1749</v>
      </c>
      <c r="G476" s="13"/>
      <c r="H476" s="14">
        <v>1</v>
      </c>
      <c r="I476" s="9">
        <f t="shared" ca="1" si="15"/>
        <v>0.94748413573851042</v>
      </c>
    </row>
    <row r="477" spans="1:9" ht="15.75" customHeight="1" x14ac:dyDescent="0.15">
      <c r="A477" s="10">
        <f t="shared" si="14"/>
        <v>476</v>
      </c>
      <c r="B477" s="12" t="s">
        <v>1266</v>
      </c>
      <c r="C477" s="10" t="s">
        <v>21</v>
      </c>
      <c r="D477" s="12" t="s">
        <v>1750</v>
      </c>
      <c r="E477" s="13" t="s">
        <v>1187</v>
      </c>
      <c r="F477" s="12" t="s">
        <v>1751</v>
      </c>
      <c r="G477" s="13"/>
      <c r="H477" s="22">
        <v>0</v>
      </c>
      <c r="I477" s="9">
        <f t="shared" ca="1" si="15"/>
        <v>0.38987819976591898</v>
      </c>
    </row>
    <row r="478" spans="1:9" ht="15.75" customHeight="1" x14ac:dyDescent="0.15">
      <c r="A478" s="10">
        <f t="shared" si="14"/>
        <v>477</v>
      </c>
      <c r="B478" s="12" t="s">
        <v>1266</v>
      </c>
      <c r="C478" s="10" t="s">
        <v>32</v>
      </c>
      <c r="D478" s="11" t="s">
        <v>1752</v>
      </c>
      <c r="E478" s="12" t="s">
        <v>174</v>
      </c>
      <c r="F478" s="11" t="s">
        <v>1753</v>
      </c>
      <c r="G478" s="13"/>
      <c r="H478" s="22">
        <v>0</v>
      </c>
      <c r="I478" s="9">
        <f t="shared" ca="1" si="15"/>
        <v>0.13625110934487117</v>
      </c>
    </row>
    <row r="479" spans="1:9" ht="15.75" customHeight="1" x14ac:dyDescent="0.15">
      <c r="A479" s="10">
        <f t="shared" si="14"/>
        <v>478</v>
      </c>
      <c r="B479" s="11" t="s">
        <v>36</v>
      </c>
      <c r="C479" s="10" t="s">
        <v>32</v>
      </c>
      <c r="D479" s="11" t="s">
        <v>1754</v>
      </c>
      <c r="E479" s="12" t="s">
        <v>174</v>
      </c>
      <c r="F479" s="11" t="s">
        <v>1755</v>
      </c>
      <c r="G479" s="13"/>
      <c r="H479" s="22">
        <v>0</v>
      </c>
      <c r="I479" s="9">
        <f t="shared" ca="1" si="15"/>
        <v>0.17127345093913671</v>
      </c>
    </row>
    <row r="480" spans="1:9" ht="15.75" customHeight="1" x14ac:dyDescent="0.15">
      <c r="A480" s="10">
        <f t="shared" si="14"/>
        <v>479</v>
      </c>
      <c r="B480" s="12" t="s">
        <v>3253</v>
      </c>
      <c r="C480" s="10" t="s">
        <v>32</v>
      </c>
      <c r="D480" s="12" t="s">
        <v>1756</v>
      </c>
      <c r="E480" s="12" t="s">
        <v>174</v>
      </c>
      <c r="F480" s="11" t="s">
        <v>1757</v>
      </c>
      <c r="G480" s="13"/>
      <c r="H480" s="22">
        <v>0</v>
      </c>
      <c r="I480" s="9">
        <f t="shared" ca="1" si="15"/>
        <v>0.82044875251112137</v>
      </c>
    </row>
    <row r="481" spans="1:9" ht="15.75" customHeight="1" x14ac:dyDescent="0.15">
      <c r="A481" s="10">
        <f t="shared" si="14"/>
        <v>480</v>
      </c>
      <c r="B481" s="12" t="s">
        <v>3253</v>
      </c>
      <c r="C481" s="10" t="s">
        <v>32</v>
      </c>
      <c r="D481" s="11" t="s">
        <v>1758</v>
      </c>
      <c r="E481" s="12" t="s">
        <v>286</v>
      </c>
      <c r="F481" s="11" t="s">
        <v>1759</v>
      </c>
      <c r="G481" s="13"/>
      <c r="H481" s="22">
        <v>0</v>
      </c>
      <c r="I481" s="9">
        <f t="shared" ca="1" si="15"/>
        <v>0.31973874594747764</v>
      </c>
    </row>
    <row r="482" spans="1:9" ht="15.75" customHeight="1" x14ac:dyDescent="0.15">
      <c r="A482" s="10">
        <f t="shared" si="14"/>
        <v>481</v>
      </c>
      <c r="B482" s="10" t="s">
        <v>20</v>
      </c>
      <c r="C482" s="10" t="s">
        <v>21</v>
      </c>
      <c r="D482" s="12" t="s">
        <v>1760</v>
      </c>
      <c r="E482" s="13" t="s">
        <v>132</v>
      </c>
      <c r="F482" s="12" t="s">
        <v>1761</v>
      </c>
      <c r="G482" s="13"/>
      <c r="H482" s="22">
        <v>0</v>
      </c>
      <c r="I482" s="9">
        <f t="shared" ca="1" si="15"/>
        <v>0.62602942545531837</v>
      </c>
    </row>
    <row r="483" spans="1:9" ht="15.75" customHeight="1" x14ac:dyDescent="0.15">
      <c r="A483" s="10">
        <f t="shared" si="14"/>
        <v>482</v>
      </c>
      <c r="B483" s="10" t="s">
        <v>20</v>
      </c>
      <c r="C483" s="10" t="s">
        <v>32</v>
      </c>
      <c r="D483" s="11" t="s">
        <v>1762</v>
      </c>
      <c r="E483" s="12" t="s">
        <v>174</v>
      </c>
      <c r="F483" s="11" t="s">
        <v>1763</v>
      </c>
      <c r="G483" s="13"/>
      <c r="H483" s="22">
        <v>0</v>
      </c>
      <c r="I483" s="9">
        <f t="shared" ca="1" si="15"/>
        <v>0.26295698972405057</v>
      </c>
    </row>
    <row r="484" spans="1:9" ht="15.75" customHeight="1" x14ac:dyDescent="0.15">
      <c r="A484" s="10">
        <f t="shared" si="14"/>
        <v>483</v>
      </c>
      <c r="B484" s="12" t="s">
        <v>3253</v>
      </c>
      <c r="C484" s="10" t="s">
        <v>32</v>
      </c>
      <c r="D484" s="11" t="s">
        <v>1764</v>
      </c>
      <c r="E484" s="12" t="s">
        <v>174</v>
      </c>
      <c r="F484" s="11" t="s">
        <v>1765</v>
      </c>
      <c r="G484" s="13"/>
      <c r="H484" s="22">
        <v>0</v>
      </c>
      <c r="I484" s="9">
        <f t="shared" ca="1" si="15"/>
        <v>0.66961894257627264</v>
      </c>
    </row>
    <row r="485" spans="1:9" ht="15.75" customHeight="1" x14ac:dyDescent="0.15">
      <c r="A485" s="10">
        <f t="shared" si="14"/>
        <v>484</v>
      </c>
      <c r="B485" s="12" t="s">
        <v>3253</v>
      </c>
      <c r="C485" s="10" t="s">
        <v>27</v>
      </c>
      <c r="D485" s="11" t="s">
        <v>1766</v>
      </c>
      <c r="E485" s="11" t="s">
        <v>1767</v>
      </c>
      <c r="F485" s="11" t="s">
        <v>1768</v>
      </c>
      <c r="G485" s="13"/>
      <c r="H485" s="14">
        <v>1</v>
      </c>
      <c r="I485" s="9">
        <f t="shared" ca="1" si="15"/>
        <v>0.14121489047797298</v>
      </c>
    </row>
    <row r="486" spans="1:9" ht="15.75" customHeight="1" x14ac:dyDescent="0.15">
      <c r="A486" s="10">
        <f t="shared" si="14"/>
        <v>485</v>
      </c>
      <c r="B486" s="12" t="s">
        <v>1266</v>
      </c>
      <c r="C486" s="10" t="s">
        <v>21</v>
      </c>
      <c r="D486" s="12" t="s">
        <v>1769</v>
      </c>
      <c r="E486" s="13" t="s">
        <v>1187</v>
      </c>
      <c r="F486" s="12" t="s">
        <v>1770</v>
      </c>
      <c r="G486" s="13"/>
      <c r="H486" s="22">
        <v>0</v>
      </c>
      <c r="I486" s="9">
        <f t="shared" ca="1" si="15"/>
        <v>0.90918094402343586</v>
      </c>
    </row>
    <row r="487" spans="1:9" ht="15.75" customHeight="1" x14ac:dyDescent="0.15">
      <c r="A487" s="10">
        <f t="shared" si="14"/>
        <v>486</v>
      </c>
      <c r="B487" s="11" t="s">
        <v>36</v>
      </c>
      <c r="C487" s="10" t="s">
        <v>32</v>
      </c>
      <c r="D487" s="12" t="s">
        <v>1771</v>
      </c>
      <c r="E487" s="12" t="s">
        <v>174</v>
      </c>
      <c r="F487" s="11" t="s">
        <v>1772</v>
      </c>
      <c r="G487" s="13"/>
      <c r="H487" s="22">
        <v>0</v>
      </c>
      <c r="I487" s="9">
        <f t="shared" ca="1" si="15"/>
        <v>0.92383340651627843</v>
      </c>
    </row>
    <row r="488" spans="1:9" ht="15.75" hidden="1" customHeight="1" x14ac:dyDescent="0.15">
      <c r="A488" s="10">
        <f t="shared" si="14"/>
        <v>487</v>
      </c>
      <c r="B488" s="12" t="s">
        <v>1266</v>
      </c>
      <c r="C488" s="10" t="s">
        <v>16</v>
      </c>
      <c r="D488" s="11" t="s">
        <v>1773</v>
      </c>
      <c r="E488" s="13" t="s">
        <v>106</v>
      </c>
      <c r="F488" s="11" t="s">
        <v>1774</v>
      </c>
      <c r="G488" s="13"/>
      <c r="H488" s="22">
        <v>0</v>
      </c>
      <c r="I488" s="9">
        <f t="shared" ca="1" si="15"/>
        <v>0.38645785555256207</v>
      </c>
    </row>
    <row r="489" spans="1:9" ht="15.75" customHeight="1" x14ac:dyDescent="0.15">
      <c r="A489" s="10">
        <f t="shared" si="14"/>
        <v>488</v>
      </c>
      <c r="B489" s="12" t="s">
        <v>1266</v>
      </c>
      <c r="C489" s="10" t="s">
        <v>27</v>
      </c>
      <c r="D489" s="12" t="s">
        <v>1775</v>
      </c>
      <c r="E489" s="12" t="s">
        <v>1776</v>
      </c>
      <c r="F489" s="12" t="s">
        <v>1777</v>
      </c>
      <c r="G489" s="13"/>
      <c r="H489" s="22">
        <v>0</v>
      </c>
      <c r="I489" s="9">
        <f t="shared" ca="1" si="15"/>
        <v>0.50239098640905733</v>
      </c>
    </row>
    <row r="490" spans="1:9" ht="15.75" customHeight="1" x14ac:dyDescent="0.15">
      <c r="A490" s="10">
        <f t="shared" si="14"/>
        <v>489</v>
      </c>
      <c r="B490" s="11" t="s">
        <v>31</v>
      </c>
      <c r="C490" s="10" t="s">
        <v>21</v>
      </c>
      <c r="D490" s="12" t="s">
        <v>1778</v>
      </c>
      <c r="E490" s="13" t="s">
        <v>1187</v>
      </c>
      <c r="F490" s="12" t="s">
        <v>1779</v>
      </c>
      <c r="G490" s="13"/>
      <c r="H490" s="22">
        <v>0</v>
      </c>
      <c r="I490" s="9">
        <f t="shared" ca="1" si="15"/>
        <v>0.33388460937899511</v>
      </c>
    </row>
    <row r="491" spans="1:9" ht="15.75" customHeight="1" x14ac:dyDescent="0.15">
      <c r="A491" s="10">
        <f t="shared" si="14"/>
        <v>490</v>
      </c>
      <c r="B491" s="12" t="s">
        <v>1266</v>
      </c>
      <c r="C491" s="10" t="s">
        <v>32</v>
      </c>
      <c r="D491" s="11" t="s">
        <v>1780</v>
      </c>
      <c r="E491" s="12" t="s">
        <v>286</v>
      </c>
      <c r="F491" s="11" t="s">
        <v>1781</v>
      </c>
      <c r="G491" s="13"/>
      <c r="H491" s="22">
        <v>0</v>
      </c>
      <c r="I491" s="9">
        <f t="shared" ca="1" si="15"/>
        <v>0.74184113307156951</v>
      </c>
    </row>
    <row r="492" spans="1:9" ht="15.75" hidden="1" customHeight="1" x14ac:dyDescent="0.15">
      <c r="A492" s="10">
        <f t="shared" si="14"/>
        <v>491</v>
      </c>
      <c r="B492" s="11" t="s">
        <v>36</v>
      </c>
      <c r="C492" s="10" t="s">
        <v>11</v>
      </c>
      <c r="D492" s="11" t="s">
        <v>1782</v>
      </c>
      <c r="E492" s="12" t="s">
        <v>1783</v>
      </c>
      <c r="F492" s="11" t="s">
        <v>1784</v>
      </c>
      <c r="G492" s="13"/>
      <c r="H492" s="22">
        <v>0</v>
      </c>
      <c r="I492" s="9">
        <f t="shared" ca="1" si="15"/>
        <v>0.17987215108788934</v>
      </c>
    </row>
    <row r="493" spans="1:9" ht="15.75" hidden="1" customHeight="1" x14ac:dyDescent="0.15">
      <c r="A493" s="10">
        <f t="shared" si="14"/>
        <v>492</v>
      </c>
      <c r="B493" s="11" t="s">
        <v>36</v>
      </c>
      <c r="C493" s="10" t="s">
        <v>11</v>
      </c>
      <c r="D493" s="11" t="s">
        <v>1785</v>
      </c>
      <c r="E493" s="11" t="s">
        <v>1786</v>
      </c>
      <c r="F493" s="11" t="s">
        <v>1787</v>
      </c>
      <c r="G493" s="13"/>
      <c r="H493" s="14">
        <v>1</v>
      </c>
      <c r="I493" s="9">
        <f t="shared" ca="1" si="15"/>
        <v>0.37010238928891859</v>
      </c>
    </row>
    <row r="494" spans="1:9" ht="15.75" hidden="1" customHeight="1" x14ac:dyDescent="0.15">
      <c r="A494" s="10">
        <f t="shared" si="14"/>
        <v>493</v>
      </c>
      <c r="B494" s="10" t="s">
        <v>20</v>
      </c>
      <c r="C494" s="10" t="s">
        <v>11</v>
      </c>
      <c r="D494" s="12" t="s">
        <v>1788</v>
      </c>
      <c r="E494" s="12" t="s">
        <v>1789</v>
      </c>
      <c r="F494" s="11" t="s">
        <v>1790</v>
      </c>
      <c r="G494" s="13"/>
      <c r="H494" s="22">
        <v>0</v>
      </c>
      <c r="I494" s="9">
        <f t="shared" ca="1" si="15"/>
        <v>0.84474212103476942</v>
      </c>
    </row>
    <row r="495" spans="1:9" ht="15.75" hidden="1" customHeight="1" x14ac:dyDescent="0.15">
      <c r="A495" s="10">
        <f t="shared" si="14"/>
        <v>494</v>
      </c>
      <c r="B495" s="10" t="s">
        <v>20</v>
      </c>
      <c r="C495" s="10" t="s">
        <v>11</v>
      </c>
      <c r="D495" s="12" t="s">
        <v>1791</v>
      </c>
      <c r="E495" s="12" t="s">
        <v>1792</v>
      </c>
      <c r="F495" s="11" t="s">
        <v>1793</v>
      </c>
      <c r="G495" s="13"/>
      <c r="H495" s="22">
        <v>0</v>
      </c>
      <c r="I495" s="9">
        <f t="shared" ca="1" si="15"/>
        <v>0.23229231256480909</v>
      </c>
    </row>
    <row r="496" spans="1:9" ht="15.75" customHeight="1" x14ac:dyDescent="0.15">
      <c r="A496" s="10">
        <f t="shared" si="14"/>
        <v>495</v>
      </c>
      <c r="B496" s="12" t="s">
        <v>3253</v>
      </c>
      <c r="C496" s="10" t="s">
        <v>21</v>
      </c>
      <c r="D496" s="11" t="s">
        <v>1794</v>
      </c>
      <c r="E496" s="13" t="s">
        <v>1187</v>
      </c>
      <c r="F496" s="12" t="s">
        <v>1795</v>
      </c>
      <c r="G496" s="13"/>
      <c r="H496" s="22">
        <v>0</v>
      </c>
      <c r="I496" s="9">
        <f t="shared" ca="1" si="15"/>
        <v>0.17933494870101729</v>
      </c>
    </row>
    <row r="497" spans="1:9" ht="15.75" customHeight="1" x14ac:dyDescent="0.15">
      <c r="A497" s="10">
        <f t="shared" si="14"/>
        <v>496</v>
      </c>
      <c r="B497" s="12" t="s">
        <v>3253</v>
      </c>
      <c r="C497" s="10" t="s">
        <v>27</v>
      </c>
      <c r="D497" s="12" t="s">
        <v>1796</v>
      </c>
      <c r="E497" s="12" t="s">
        <v>1797</v>
      </c>
      <c r="F497" s="11" t="s">
        <v>1798</v>
      </c>
      <c r="G497" s="13"/>
      <c r="H497" s="22">
        <v>0</v>
      </c>
      <c r="I497" s="9">
        <f t="shared" ca="1" si="15"/>
        <v>0.89385589696768275</v>
      </c>
    </row>
    <row r="498" spans="1:9" ht="15.75" customHeight="1" x14ac:dyDescent="0.15">
      <c r="A498" s="10">
        <f t="shared" si="14"/>
        <v>497</v>
      </c>
      <c r="B498" s="11" t="s">
        <v>31</v>
      </c>
      <c r="C498" s="10" t="s">
        <v>21</v>
      </c>
      <c r="D498" s="12" t="s">
        <v>1799</v>
      </c>
      <c r="E498" s="13" t="s">
        <v>1361</v>
      </c>
      <c r="F498" s="12" t="s">
        <v>1800</v>
      </c>
      <c r="G498" s="13"/>
      <c r="H498" s="22">
        <v>0</v>
      </c>
      <c r="I498" s="9">
        <f t="shared" ca="1" si="15"/>
        <v>0.33339686170971816</v>
      </c>
    </row>
    <row r="499" spans="1:9" ht="15.75" customHeight="1" x14ac:dyDescent="0.15">
      <c r="A499" s="10">
        <f t="shared" si="14"/>
        <v>498</v>
      </c>
      <c r="B499" s="10" t="s">
        <v>20</v>
      </c>
      <c r="C499" s="10" t="s">
        <v>21</v>
      </c>
      <c r="D499" s="11" t="s">
        <v>1801</v>
      </c>
      <c r="E499" s="13" t="s">
        <v>601</v>
      </c>
      <c r="F499" s="11" t="s">
        <v>1802</v>
      </c>
      <c r="G499" s="13"/>
      <c r="H499" s="22">
        <v>0</v>
      </c>
      <c r="I499" s="9">
        <f t="shared" ca="1" si="15"/>
        <v>0.99038222591483527</v>
      </c>
    </row>
    <row r="500" spans="1:9" ht="15.75" customHeight="1" x14ac:dyDescent="0.15">
      <c r="A500" s="10">
        <f t="shared" si="14"/>
        <v>499</v>
      </c>
      <c r="B500" s="11" t="s">
        <v>31</v>
      </c>
      <c r="C500" s="10" t="s">
        <v>32</v>
      </c>
      <c r="D500" s="11" t="s">
        <v>1803</v>
      </c>
      <c r="E500" s="12" t="s">
        <v>174</v>
      </c>
      <c r="F500" s="11" t="s">
        <v>1804</v>
      </c>
      <c r="G500" s="13"/>
      <c r="H500" s="22">
        <v>0</v>
      </c>
      <c r="I500" s="9">
        <f t="shared" ca="1" si="15"/>
        <v>0.18478235655365727</v>
      </c>
    </row>
    <row r="501" spans="1:9" ht="15.75" customHeight="1" x14ac:dyDescent="0.15">
      <c r="A501" s="10">
        <f t="shared" si="14"/>
        <v>500</v>
      </c>
      <c r="B501" s="11" t="s">
        <v>31</v>
      </c>
      <c r="C501" s="10" t="s">
        <v>27</v>
      </c>
      <c r="D501" s="11" t="s">
        <v>1805</v>
      </c>
      <c r="E501" s="11" t="s">
        <v>1806</v>
      </c>
      <c r="F501" s="11" t="s">
        <v>1807</v>
      </c>
      <c r="G501" s="13"/>
      <c r="H501" s="22">
        <v>0</v>
      </c>
      <c r="I501" s="9">
        <f t="shared" ca="1" si="15"/>
        <v>0.70612445107892829</v>
      </c>
    </row>
    <row r="502" spans="1:9" ht="15.75" hidden="1" customHeight="1" x14ac:dyDescent="0.15">
      <c r="A502" s="10">
        <f t="shared" si="14"/>
        <v>501</v>
      </c>
      <c r="B502" s="12" t="s">
        <v>3253</v>
      </c>
      <c r="C502" s="10" t="s">
        <v>16</v>
      </c>
      <c r="D502" s="12" t="s">
        <v>1808</v>
      </c>
      <c r="E502" s="13" t="s">
        <v>106</v>
      </c>
      <c r="F502" s="12" t="s">
        <v>1809</v>
      </c>
      <c r="G502" s="13"/>
      <c r="H502" s="22">
        <v>0</v>
      </c>
      <c r="I502" s="9">
        <f t="shared" ca="1" si="15"/>
        <v>0.5495087872714628</v>
      </c>
    </row>
    <row r="503" spans="1:9" ht="15.75" hidden="1" customHeight="1" x14ac:dyDescent="0.15">
      <c r="A503" s="10">
        <f t="shared" si="14"/>
        <v>502</v>
      </c>
      <c r="B503" s="12" t="s">
        <v>3253</v>
      </c>
      <c r="C503" s="10" t="s">
        <v>16</v>
      </c>
      <c r="D503" s="12" t="s">
        <v>1810</v>
      </c>
      <c r="E503" s="13" t="s">
        <v>159</v>
      </c>
      <c r="F503" s="12" t="s">
        <v>1811</v>
      </c>
      <c r="G503" s="13"/>
      <c r="H503" s="22">
        <v>0</v>
      </c>
      <c r="I503" s="9">
        <f t="shared" ca="1" si="15"/>
        <v>0.56683384686982607</v>
      </c>
    </row>
    <row r="504" spans="1:9" ht="15.75" customHeight="1" x14ac:dyDescent="0.15">
      <c r="A504" s="10">
        <f t="shared" si="14"/>
        <v>503</v>
      </c>
      <c r="B504" s="12" t="s">
        <v>3253</v>
      </c>
      <c r="C504" s="10" t="s">
        <v>32</v>
      </c>
      <c r="D504" s="12" t="s">
        <v>1812</v>
      </c>
      <c r="E504" s="12" t="s">
        <v>174</v>
      </c>
      <c r="F504" s="11" t="s">
        <v>1813</v>
      </c>
      <c r="G504" s="13"/>
      <c r="H504" s="22">
        <v>0</v>
      </c>
      <c r="I504" s="9">
        <f t="shared" ca="1" si="15"/>
        <v>0.90171701107584157</v>
      </c>
    </row>
    <row r="505" spans="1:9" ht="15.75" customHeight="1" x14ac:dyDescent="0.15">
      <c r="A505" s="10">
        <f t="shared" si="14"/>
        <v>504</v>
      </c>
      <c r="B505" s="12" t="s">
        <v>1266</v>
      </c>
      <c r="C505" s="10" t="s">
        <v>32</v>
      </c>
      <c r="D505" s="11" t="s">
        <v>1814</v>
      </c>
      <c r="E505" s="12" t="s">
        <v>286</v>
      </c>
      <c r="F505" s="11" t="s">
        <v>1815</v>
      </c>
      <c r="G505" s="13"/>
      <c r="H505" s="22">
        <v>0</v>
      </c>
      <c r="I505" s="9">
        <f t="shared" ca="1" si="15"/>
        <v>0.48623481712227645</v>
      </c>
    </row>
    <row r="506" spans="1:9" ht="15.75" hidden="1" customHeight="1" x14ac:dyDescent="0.15">
      <c r="A506" s="10">
        <f t="shared" si="14"/>
        <v>505</v>
      </c>
      <c r="B506" s="10" t="s">
        <v>20</v>
      </c>
      <c r="C506" s="10" t="s">
        <v>16</v>
      </c>
      <c r="D506" s="12" t="s">
        <v>1816</v>
      </c>
      <c r="E506" s="13" t="s">
        <v>106</v>
      </c>
      <c r="F506" s="12" t="s">
        <v>1817</v>
      </c>
      <c r="G506" s="13"/>
      <c r="H506" s="22">
        <v>0</v>
      </c>
      <c r="I506" s="9">
        <f t="shared" ca="1" si="15"/>
        <v>0.69039060845177602</v>
      </c>
    </row>
    <row r="507" spans="1:9" ht="15.75" hidden="1" customHeight="1" x14ac:dyDescent="0.15">
      <c r="A507" s="10">
        <f t="shared" si="14"/>
        <v>506</v>
      </c>
      <c r="B507" s="11" t="s">
        <v>36</v>
      </c>
      <c r="C507" s="10" t="s">
        <v>11</v>
      </c>
      <c r="D507" s="11" t="s">
        <v>1818</v>
      </c>
      <c r="E507" s="12" t="s">
        <v>1819</v>
      </c>
      <c r="F507" s="11" t="s">
        <v>1820</v>
      </c>
      <c r="G507" s="13"/>
      <c r="H507" s="22">
        <v>0</v>
      </c>
      <c r="I507" s="9">
        <f t="shared" ca="1" si="15"/>
        <v>0.39705440800159553</v>
      </c>
    </row>
    <row r="508" spans="1:9" ht="15.75" customHeight="1" x14ac:dyDescent="0.15">
      <c r="A508" s="10">
        <f t="shared" si="14"/>
        <v>507</v>
      </c>
      <c r="B508" s="12" t="s">
        <v>3253</v>
      </c>
      <c r="C508" s="10" t="s">
        <v>27</v>
      </c>
      <c r="D508" s="11" t="s">
        <v>1821</v>
      </c>
      <c r="E508" s="11" t="s">
        <v>1822</v>
      </c>
      <c r="F508" s="11" t="s">
        <v>1823</v>
      </c>
      <c r="G508" s="13"/>
      <c r="H508" s="22">
        <v>0</v>
      </c>
      <c r="I508" s="9">
        <f t="shared" ca="1" si="15"/>
        <v>0.86570807619061285</v>
      </c>
    </row>
    <row r="509" spans="1:9" ht="15.75" hidden="1" customHeight="1" x14ac:dyDescent="0.15">
      <c r="A509" s="10">
        <f t="shared" si="14"/>
        <v>508</v>
      </c>
      <c r="B509" s="12" t="s">
        <v>3253</v>
      </c>
      <c r="C509" s="10" t="s">
        <v>16</v>
      </c>
      <c r="D509" s="12" t="s">
        <v>1824</v>
      </c>
      <c r="E509" s="13" t="s">
        <v>127</v>
      </c>
      <c r="F509" s="12" t="s">
        <v>1825</v>
      </c>
      <c r="G509" s="13"/>
      <c r="H509" s="22">
        <v>0</v>
      </c>
      <c r="I509" s="9">
        <f t="shared" ca="1" si="15"/>
        <v>0.41446844452056208</v>
      </c>
    </row>
    <row r="510" spans="1:9" ht="15.75" customHeight="1" x14ac:dyDescent="0.15">
      <c r="A510" s="10">
        <f t="shared" si="14"/>
        <v>509</v>
      </c>
      <c r="B510" s="11" t="s">
        <v>36</v>
      </c>
      <c r="C510" s="10" t="s">
        <v>27</v>
      </c>
      <c r="D510" s="11" t="s">
        <v>1826</v>
      </c>
      <c r="E510" s="15">
        <v>7</v>
      </c>
      <c r="F510" s="11" t="s">
        <v>1827</v>
      </c>
      <c r="G510" s="13"/>
      <c r="H510" s="14">
        <v>1</v>
      </c>
      <c r="I510" s="9">
        <f t="shared" ca="1" si="15"/>
        <v>0.51970464309933373</v>
      </c>
    </row>
    <row r="511" spans="1:9" ht="15.75" hidden="1" customHeight="1" x14ac:dyDescent="0.15">
      <c r="A511" s="10">
        <f t="shared" si="14"/>
        <v>510</v>
      </c>
      <c r="B511" s="12" t="s">
        <v>3253</v>
      </c>
      <c r="C511" s="10" t="s">
        <v>11</v>
      </c>
      <c r="D511" s="12" t="s">
        <v>1828</v>
      </c>
      <c r="E511" s="12" t="s">
        <v>1829</v>
      </c>
      <c r="F511" s="11" t="s">
        <v>1830</v>
      </c>
      <c r="G511" s="13"/>
      <c r="H511" s="22">
        <v>0</v>
      </c>
      <c r="I511" s="9">
        <f t="shared" ca="1" si="15"/>
        <v>0.20457399043002411</v>
      </c>
    </row>
    <row r="512" spans="1:9" ht="15.75" customHeight="1" x14ac:dyDescent="0.15">
      <c r="A512" s="10">
        <f t="shared" si="14"/>
        <v>511</v>
      </c>
      <c r="B512" s="12" t="s">
        <v>3253</v>
      </c>
      <c r="C512" s="10" t="s">
        <v>27</v>
      </c>
      <c r="D512" s="11" t="s">
        <v>1831</v>
      </c>
      <c r="E512" s="11" t="s">
        <v>1832</v>
      </c>
      <c r="F512" s="11" t="s">
        <v>1833</v>
      </c>
      <c r="G512" s="13"/>
      <c r="H512" s="22">
        <v>0</v>
      </c>
      <c r="I512" s="9">
        <f t="shared" ca="1" si="15"/>
        <v>0.86340315539223667</v>
      </c>
    </row>
    <row r="513" spans="1:9" ht="15.75" hidden="1" customHeight="1" x14ac:dyDescent="0.15">
      <c r="A513" s="10">
        <f t="shared" si="14"/>
        <v>512</v>
      </c>
      <c r="B513" s="12" t="s">
        <v>1266</v>
      </c>
      <c r="C513" s="10" t="s">
        <v>16</v>
      </c>
      <c r="D513" s="11" t="s">
        <v>1834</v>
      </c>
      <c r="E513" s="13" t="s">
        <v>106</v>
      </c>
      <c r="F513" s="12" t="s">
        <v>1835</v>
      </c>
      <c r="G513" s="13"/>
      <c r="H513" s="22">
        <v>0</v>
      </c>
      <c r="I513" s="9">
        <f t="shared" ca="1" si="15"/>
        <v>0.83663008765264379</v>
      </c>
    </row>
    <row r="514" spans="1:9" ht="15.75" customHeight="1" x14ac:dyDescent="0.15">
      <c r="A514" s="10">
        <f t="shared" si="14"/>
        <v>513</v>
      </c>
      <c r="B514" s="12" t="s">
        <v>3253</v>
      </c>
      <c r="C514" s="10" t="s">
        <v>27</v>
      </c>
      <c r="D514" s="11" t="s">
        <v>1836</v>
      </c>
      <c r="E514" s="11" t="s">
        <v>1837</v>
      </c>
      <c r="F514" s="11" t="s">
        <v>1838</v>
      </c>
      <c r="G514" s="13"/>
      <c r="H514" s="22">
        <v>0</v>
      </c>
      <c r="I514" s="9">
        <f t="shared" ca="1" si="15"/>
        <v>0.6706721145141451</v>
      </c>
    </row>
    <row r="515" spans="1:9" ht="15.75" customHeight="1" x14ac:dyDescent="0.15">
      <c r="A515" s="10">
        <f t="shared" ref="A515:A578" si="16">ROW() - 1</f>
        <v>514</v>
      </c>
      <c r="B515" s="12" t="s">
        <v>3253</v>
      </c>
      <c r="C515" s="10" t="s">
        <v>21</v>
      </c>
      <c r="D515" s="11" t="s">
        <v>1839</v>
      </c>
      <c r="E515" s="13" t="s">
        <v>134</v>
      </c>
      <c r="F515" s="12" t="s">
        <v>1840</v>
      </c>
      <c r="G515" s="13"/>
      <c r="H515" s="22">
        <v>0</v>
      </c>
      <c r="I515" s="9">
        <f t="shared" ca="1" si="15"/>
        <v>0.54544999374215297</v>
      </c>
    </row>
    <row r="516" spans="1:9" ht="15.75" customHeight="1" x14ac:dyDescent="0.15">
      <c r="A516" s="10">
        <f t="shared" si="16"/>
        <v>515</v>
      </c>
      <c r="B516" s="11" t="s">
        <v>36</v>
      </c>
      <c r="C516" s="10" t="s">
        <v>32</v>
      </c>
      <c r="D516" s="12" t="s">
        <v>1841</v>
      </c>
      <c r="E516" s="12" t="s">
        <v>174</v>
      </c>
      <c r="F516" s="11" t="s">
        <v>1842</v>
      </c>
      <c r="G516" s="13"/>
      <c r="H516" s="22">
        <v>0</v>
      </c>
      <c r="I516" s="9">
        <f t="shared" ref="I516:I579" ca="1" si="17">RAND()</f>
        <v>0.89852164932577316</v>
      </c>
    </row>
    <row r="517" spans="1:9" ht="15.75" customHeight="1" x14ac:dyDescent="0.15">
      <c r="A517" s="10">
        <f t="shared" si="16"/>
        <v>516</v>
      </c>
      <c r="B517" s="12" t="s">
        <v>3253</v>
      </c>
      <c r="C517" s="10" t="s">
        <v>32</v>
      </c>
      <c r="D517" s="11" t="s">
        <v>1843</v>
      </c>
      <c r="E517" s="12" t="s">
        <v>286</v>
      </c>
      <c r="F517" s="11" t="s">
        <v>1844</v>
      </c>
      <c r="G517" s="13"/>
      <c r="H517" s="22">
        <v>0</v>
      </c>
      <c r="I517" s="9">
        <f t="shared" ca="1" si="17"/>
        <v>4.468733339571529E-2</v>
      </c>
    </row>
    <row r="518" spans="1:9" ht="15.75" customHeight="1" x14ac:dyDescent="0.15">
      <c r="A518" s="10">
        <f t="shared" si="16"/>
        <v>517</v>
      </c>
      <c r="B518" s="12" t="s">
        <v>3253</v>
      </c>
      <c r="C518" s="10" t="s">
        <v>27</v>
      </c>
      <c r="D518" s="12" t="s">
        <v>1845</v>
      </c>
      <c r="E518" s="12" t="s">
        <v>1846</v>
      </c>
      <c r="F518" s="12" t="s">
        <v>1847</v>
      </c>
      <c r="G518" s="13"/>
      <c r="H518" s="14">
        <v>1</v>
      </c>
      <c r="I518" s="9">
        <f t="shared" ca="1" si="17"/>
        <v>0.37429602693506459</v>
      </c>
    </row>
    <row r="519" spans="1:9" ht="15.75" hidden="1" customHeight="1" x14ac:dyDescent="0.15">
      <c r="A519" s="10">
        <f t="shared" si="16"/>
        <v>518</v>
      </c>
      <c r="B519" s="11" t="s">
        <v>31</v>
      </c>
      <c r="C519" s="10" t="s">
        <v>11</v>
      </c>
      <c r="D519" s="12" t="s">
        <v>1848</v>
      </c>
      <c r="E519" s="12" t="s">
        <v>1849</v>
      </c>
      <c r="F519" s="11" t="s">
        <v>1850</v>
      </c>
      <c r="G519" s="13"/>
      <c r="H519" s="22">
        <v>0</v>
      </c>
      <c r="I519" s="9">
        <f t="shared" ca="1" si="17"/>
        <v>0.16027286091588344</v>
      </c>
    </row>
    <row r="520" spans="1:9" ht="15.75" hidden="1" customHeight="1" x14ac:dyDescent="0.15">
      <c r="A520" s="10">
        <f t="shared" si="16"/>
        <v>519</v>
      </c>
      <c r="B520" s="12" t="s">
        <v>1266</v>
      </c>
      <c r="C520" s="10" t="s">
        <v>16</v>
      </c>
      <c r="D520" s="11" t="s">
        <v>1851</v>
      </c>
      <c r="E520" s="13" t="s">
        <v>106</v>
      </c>
      <c r="F520" s="11" t="s">
        <v>1852</v>
      </c>
      <c r="G520" s="13"/>
      <c r="H520" s="22">
        <v>0</v>
      </c>
      <c r="I520" s="9">
        <f t="shared" ca="1" si="17"/>
        <v>0.14837978824672804</v>
      </c>
    </row>
    <row r="521" spans="1:9" ht="15.75" hidden="1" customHeight="1" x14ac:dyDescent="0.15">
      <c r="A521" s="10">
        <f t="shared" si="16"/>
        <v>520</v>
      </c>
      <c r="B521" s="11" t="s">
        <v>31</v>
      </c>
      <c r="C521" s="10" t="s">
        <v>16</v>
      </c>
      <c r="D521" s="12" t="s">
        <v>1853</v>
      </c>
      <c r="E521" s="13" t="s">
        <v>127</v>
      </c>
      <c r="F521" s="12" t="s">
        <v>1854</v>
      </c>
      <c r="G521" s="13"/>
      <c r="H521" s="22">
        <v>0</v>
      </c>
      <c r="I521" s="9">
        <f t="shared" ca="1" si="17"/>
        <v>0.61761408582392574</v>
      </c>
    </row>
    <row r="522" spans="1:9" ht="15.75" hidden="1" customHeight="1" x14ac:dyDescent="0.15">
      <c r="A522" s="10">
        <f t="shared" si="16"/>
        <v>521</v>
      </c>
      <c r="B522" s="10" t="s">
        <v>20</v>
      </c>
      <c r="C522" s="10" t="s">
        <v>16</v>
      </c>
      <c r="D522" s="12" t="s">
        <v>1855</v>
      </c>
      <c r="E522" s="13" t="s">
        <v>127</v>
      </c>
      <c r="F522" s="12" t="s">
        <v>1856</v>
      </c>
      <c r="G522" s="13"/>
      <c r="H522" s="22">
        <v>0</v>
      </c>
      <c r="I522" s="9">
        <f t="shared" ca="1" si="17"/>
        <v>0.4839385643475087</v>
      </c>
    </row>
    <row r="523" spans="1:9" ht="15.75" customHeight="1" x14ac:dyDescent="0.15">
      <c r="A523" s="10">
        <f t="shared" si="16"/>
        <v>522</v>
      </c>
      <c r="B523" s="10" t="s">
        <v>20</v>
      </c>
      <c r="C523" s="10" t="s">
        <v>27</v>
      </c>
      <c r="D523" s="12" t="s">
        <v>1857</v>
      </c>
      <c r="E523" s="12" t="s">
        <v>1797</v>
      </c>
      <c r="F523" s="12" t="s">
        <v>1858</v>
      </c>
      <c r="G523" s="13"/>
      <c r="H523" s="22">
        <v>0</v>
      </c>
      <c r="I523" s="9">
        <f t="shared" ca="1" si="17"/>
        <v>0.32795450002135096</v>
      </c>
    </row>
    <row r="524" spans="1:9" ht="15.75" customHeight="1" x14ac:dyDescent="0.15">
      <c r="A524" s="10">
        <f t="shared" si="16"/>
        <v>523</v>
      </c>
      <c r="B524" s="12" t="s">
        <v>3253</v>
      </c>
      <c r="C524" s="10" t="s">
        <v>32</v>
      </c>
      <c r="D524" s="11" t="s">
        <v>1859</v>
      </c>
      <c r="E524" s="12" t="s">
        <v>174</v>
      </c>
      <c r="F524" s="11" t="s">
        <v>1860</v>
      </c>
      <c r="G524" s="13"/>
      <c r="H524" s="22">
        <v>0</v>
      </c>
      <c r="I524" s="9">
        <f t="shared" ca="1" si="17"/>
        <v>2.1443033077936269E-2</v>
      </c>
    </row>
    <row r="525" spans="1:9" ht="15.75" customHeight="1" x14ac:dyDescent="0.15">
      <c r="A525" s="10">
        <f t="shared" si="16"/>
        <v>524</v>
      </c>
      <c r="B525" s="11" t="s">
        <v>36</v>
      </c>
      <c r="C525" s="10" t="s">
        <v>27</v>
      </c>
      <c r="D525" s="11" t="s">
        <v>1861</v>
      </c>
      <c r="E525" s="11" t="s">
        <v>1862</v>
      </c>
      <c r="F525" s="11" t="s">
        <v>1863</v>
      </c>
      <c r="G525" s="13"/>
      <c r="H525" s="22">
        <v>0</v>
      </c>
      <c r="I525" s="9">
        <f t="shared" ca="1" si="17"/>
        <v>0.42225102873855613</v>
      </c>
    </row>
    <row r="526" spans="1:9" ht="15.75" hidden="1" customHeight="1" x14ac:dyDescent="0.15">
      <c r="A526" s="10">
        <f t="shared" si="16"/>
        <v>525</v>
      </c>
      <c r="B526" s="11" t="s">
        <v>36</v>
      </c>
      <c r="C526" s="10" t="s">
        <v>11</v>
      </c>
      <c r="D526" s="11" t="s">
        <v>1864</v>
      </c>
      <c r="E526" s="12" t="s">
        <v>1865</v>
      </c>
      <c r="F526" s="11" t="s">
        <v>1866</v>
      </c>
      <c r="G526" s="13"/>
      <c r="H526" s="22">
        <v>0</v>
      </c>
      <c r="I526" s="9">
        <f t="shared" ca="1" si="17"/>
        <v>0.53584819097675651</v>
      </c>
    </row>
    <row r="527" spans="1:9" ht="15.75" hidden="1" customHeight="1" x14ac:dyDescent="0.15">
      <c r="A527" s="10">
        <f t="shared" si="16"/>
        <v>526</v>
      </c>
      <c r="B527" s="12" t="s">
        <v>1266</v>
      </c>
      <c r="C527" s="10" t="s">
        <v>16</v>
      </c>
      <c r="D527" s="11" t="s">
        <v>1867</v>
      </c>
      <c r="E527" s="13" t="s">
        <v>106</v>
      </c>
      <c r="F527" s="11" t="s">
        <v>1868</v>
      </c>
      <c r="G527" s="13"/>
      <c r="H527" s="14">
        <v>1</v>
      </c>
      <c r="I527" s="9">
        <f t="shared" ca="1" si="17"/>
        <v>0.58115268997208358</v>
      </c>
    </row>
    <row r="528" spans="1:9" ht="15.75" hidden="1" customHeight="1" x14ac:dyDescent="0.15">
      <c r="A528" s="10">
        <f t="shared" si="16"/>
        <v>527</v>
      </c>
      <c r="B528" s="11" t="s">
        <v>36</v>
      </c>
      <c r="C528" s="10" t="s">
        <v>16</v>
      </c>
      <c r="D528" s="11" t="s">
        <v>1869</v>
      </c>
      <c r="E528" s="13" t="s">
        <v>127</v>
      </c>
      <c r="F528" s="11" t="s">
        <v>1870</v>
      </c>
      <c r="G528" s="13"/>
      <c r="H528" s="14">
        <v>1</v>
      </c>
      <c r="I528" s="9">
        <f t="shared" ca="1" si="17"/>
        <v>0.2269493576208772</v>
      </c>
    </row>
    <row r="529" spans="1:9" ht="15.75" hidden="1" customHeight="1" x14ac:dyDescent="0.2">
      <c r="A529" s="10">
        <f t="shared" si="16"/>
        <v>528</v>
      </c>
      <c r="B529" s="11" t="s">
        <v>36</v>
      </c>
      <c r="C529" s="10" t="s">
        <v>11</v>
      </c>
      <c r="D529" s="16" t="s">
        <v>1871</v>
      </c>
      <c r="E529" s="12" t="s">
        <v>1872</v>
      </c>
      <c r="F529" s="11" t="s">
        <v>1873</v>
      </c>
      <c r="G529" s="13"/>
      <c r="H529" s="22">
        <v>0</v>
      </c>
      <c r="I529" s="9">
        <f t="shared" ca="1" si="17"/>
        <v>9.6977164330457555E-2</v>
      </c>
    </row>
    <row r="530" spans="1:9" ht="15.75" customHeight="1" x14ac:dyDescent="0.15">
      <c r="A530" s="10">
        <f t="shared" si="16"/>
        <v>529</v>
      </c>
      <c r="B530" s="10" t="s">
        <v>20</v>
      </c>
      <c r="C530" s="10" t="s">
        <v>32</v>
      </c>
      <c r="D530" s="11" t="s">
        <v>1874</v>
      </c>
      <c r="E530" s="12" t="s">
        <v>286</v>
      </c>
      <c r="F530" s="11" t="s">
        <v>1875</v>
      </c>
      <c r="G530" s="13"/>
      <c r="H530" s="22">
        <v>0</v>
      </c>
      <c r="I530" s="9">
        <f t="shared" ca="1" si="17"/>
        <v>0.37510906584131942</v>
      </c>
    </row>
    <row r="531" spans="1:9" ht="15.75" hidden="1" customHeight="1" x14ac:dyDescent="0.15">
      <c r="A531" s="10">
        <f t="shared" si="16"/>
        <v>530</v>
      </c>
      <c r="B531" s="11" t="s">
        <v>31</v>
      </c>
      <c r="C531" s="10" t="s">
        <v>16</v>
      </c>
      <c r="D531" s="12" t="s">
        <v>1876</v>
      </c>
      <c r="E531" s="13" t="s">
        <v>98</v>
      </c>
      <c r="F531" s="12" t="s">
        <v>1877</v>
      </c>
      <c r="G531" s="13"/>
      <c r="H531" s="22">
        <v>0</v>
      </c>
      <c r="I531" s="9">
        <f t="shared" ca="1" si="17"/>
        <v>0.87859702060843503</v>
      </c>
    </row>
    <row r="532" spans="1:9" ht="15.75" hidden="1" customHeight="1" x14ac:dyDescent="0.15">
      <c r="A532" s="10">
        <f t="shared" si="16"/>
        <v>531</v>
      </c>
      <c r="B532" s="11" t="s">
        <v>31</v>
      </c>
      <c r="C532" s="10" t="s">
        <v>11</v>
      </c>
      <c r="D532" s="11" t="s">
        <v>1878</v>
      </c>
      <c r="E532" s="12" t="s">
        <v>1879</v>
      </c>
      <c r="F532" s="11" t="s">
        <v>1880</v>
      </c>
      <c r="G532" s="13"/>
      <c r="H532" s="22">
        <v>0</v>
      </c>
      <c r="I532" s="9">
        <f t="shared" ca="1" si="17"/>
        <v>4.3226418658797394E-2</v>
      </c>
    </row>
    <row r="533" spans="1:9" ht="15.75" customHeight="1" x14ac:dyDescent="0.15">
      <c r="A533" s="10">
        <f t="shared" si="16"/>
        <v>532</v>
      </c>
      <c r="B533" s="10" t="s">
        <v>20</v>
      </c>
      <c r="C533" s="10" t="s">
        <v>32</v>
      </c>
      <c r="D533" s="11" t="s">
        <v>1881</v>
      </c>
      <c r="E533" s="12" t="s">
        <v>286</v>
      </c>
      <c r="F533" s="11" t="s">
        <v>1882</v>
      </c>
      <c r="G533" s="13"/>
      <c r="H533" s="22">
        <v>0</v>
      </c>
      <c r="I533" s="9">
        <f t="shared" ca="1" si="17"/>
        <v>0.91444387375375102</v>
      </c>
    </row>
    <row r="534" spans="1:9" ht="15.75" customHeight="1" x14ac:dyDescent="0.15">
      <c r="A534" s="10">
        <f t="shared" si="16"/>
        <v>533</v>
      </c>
      <c r="B534" s="12" t="s">
        <v>3253</v>
      </c>
      <c r="C534" s="10" t="s">
        <v>27</v>
      </c>
      <c r="D534" s="12" t="s">
        <v>1883</v>
      </c>
      <c r="E534" s="12" t="s">
        <v>1884</v>
      </c>
      <c r="F534" s="12" t="s">
        <v>1885</v>
      </c>
      <c r="G534" s="13"/>
      <c r="H534" s="22">
        <v>0</v>
      </c>
      <c r="I534" s="9">
        <f t="shared" ca="1" si="17"/>
        <v>7.9616794489045351E-2</v>
      </c>
    </row>
    <row r="535" spans="1:9" ht="15.75" customHeight="1" x14ac:dyDescent="0.15">
      <c r="A535" s="10">
        <f t="shared" si="16"/>
        <v>534</v>
      </c>
      <c r="B535" s="12" t="s">
        <v>1266</v>
      </c>
      <c r="C535" s="10" t="s">
        <v>21</v>
      </c>
      <c r="D535" s="12" t="s">
        <v>1886</v>
      </c>
      <c r="E535" s="13" t="s">
        <v>141</v>
      </c>
      <c r="F535" s="12" t="s">
        <v>1887</v>
      </c>
      <c r="G535" s="13"/>
      <c r="H535" s="22">
        <v>0</v>
      </c>
      <c r="I535" s="9">
        <f t="shared" ca="1" si="17"/>
        <v>9.8190549948859451E-2</v>
      </c>
    </row>
    <row r="536" spans="1:9" ht="15.75" customHeight="1" x14ac:dyDescent="0.15">
      <c r="A536" s="10">
        <f t="shared" si="16"/>
        <v>535</v>
      </c>
      <c r="B536" s="11" t="s">
        <v>36</v>
      </c>
      <c r="C536" s="10" t="s">
        <v>32</v>
      </c>
      <c r="D536" s="11" t="s">
        <v>1888</v>
      </c>
      <c r="E536" s="12" t="s">
        <v>286</v>
      </c>
      <c r="F536" s="11" t="s">
        <v>1889</v>
      </c>
      <c r="G536" s="13"/>
      <c r="H536" s="22">
        <v>0</v>
      </c>
      <c r="I536" s="9">
        <f t="shared" ca="1" si="17"/>
        <v>0.41351674966561336</v>
      </c>
    </row>
    <row r="537" spans="1:9" ht="15.75" customHeight="1" x14ac:dyDescent="0.15">
      <c r="A537" s="10">
        <f t="shared" si="16"/>
        <v>536</v>
      </c>
      <c r="B537" s="11" t="s">
        <v>36</v>
      </c>
      <c r="C537" s="10" t="s">
        <v>32</v>
      </c>
      <c r="D537" s="11" t="s">
        <v>1890</v>
      </c>
      <c r="E537" s="12" t="s">
        <v>174</v>
      </c>
      <c r="F537" s="11" t="s">
        <v>1891</v>
      </c>
      <c r="G537" s="13"/>
      <c r="H537" s="22">
        <v>0</v>
      </c>
      <c r="I537" s="9">
        <f t="shared" ca="1" si="17"/>
        <v>4.7552088795683622E-2</v>
      </c>
    </row>
    <row r="538" spans="1:9" ht="15.75" customHeight="1" x14ac:dyDescent="0.15">
      <c r="A538" s="10">
        <f t="shared" si="16"/>
        <v>537</v>
      </c>
      <c r="B538" s="11" t="s">
        <v>31</v>
      </c>
      <c r="C538" s="10" t="s">
        <v>27</v>
      </c>
      <c r="D538" s="11" t="s">
        <v>1892</v>
      </c>
      <c r="E538" s="15">
        <v>1586</v>
      </c>
      <c r="F538" s="11" t="s">
        <v>1893</v>
      </c>
      <c r="G538" s="13"/>
      <c r="H538" s="14">
        <v>1</v>
      </c>
      <c r="I538" s="9">
        <f t="shared" ca="1" si="17"/>
        <v>0.40488240396444686</v>
      </c>
    </row>
    <row r="539" spans="1:9" ht="15.75" hidden="1" customHeight="1" x14ac:dyDescent="0.15">
      <c r="A539" s="10">
        <f t="shared" si="16"/>
        <v>538</v>
      </c>
      <c r="B539" s="12" t="s">
        <v>3253</v>
      </c>
      <c r="C539" s="10" t="s">
        <v>16</v>
      </c>
      <c r="D539" s="12" t="s">
        <v>1894</v>
      </c>
      <c r="E539" s="13" t="s">
        <v>98</v>
      </c>
      <c r="F539" s="12" t="s">
        <v>1895</v>
      </c>
      <c r="G539" s="13"/>
      <c r="H539" s="14">
        <v>1</v>
      </c>
      <c r="I539" s="9">
        <f t="shared" ca="1" si="17"/>
        <v>6.192799640892499E-2</v>
      </c>
    </row>
    <row r="540" spans="1:9" ht="15.75" customHeight="1" x14ac:dyDescent="0.15">
      <c r="A540" s="10">
        <f t="shared" si="16"/>
        <v>539</v>
      </c>
      <c r="B540" s="12" t="s">
        <v>3253</v>
      </c>
      <c r="C540" s="10" t="s">
        <v>27</v>
      </c>
      <c r="D540" s="11" t="s">
        <v>1896</v>
      </c>
      <c r="E540" s="11" t="s">
        <v>1897</v>
      </c>
      <c r="F540" s="11" t="s">
        <v>1898</v>
      </c>
      <c r="G540" s="13"/>
      <c r="H540" s="14">
        <v>1</v>
      </c>
      <c r="I540" s="9">
        <f t="shared" ca="1" si="17"/>
        <v>0.5791450910495668</v>
      </c>
    </row>
    <row r="541" spans="1:9" ht="15.75" customHeight="1" x14ac:dyDescent="0.15">
      <c r="A541" s="10">
        <f t="shared" si="16"/>
        <v>540</v>
      </c>
      <c r="B541" s="11" t="s">
        <v>36</v>
      </c>
      <c r="C541" s="10" t="s">
        <v>21</v>
      </c>
      <c r="D541" s="12" t="s">
        <v>1899</v>
      </c>
      <c r="E541" s="13" t="s">
        <v>560</v>
      </c>
      <c r="F541" s="12" t="s">
        <v>1900</v>
      </c>
      <c r="G541" s="13"/>
      <c r="H541" s="22">
        <v>0</v>
      </c>
      <c r="I541" s="9">
        <f t="shared" ca="1" si="17"/>
        <v>0.98460340730183793</v>
      </c>
    </row>
    <row r="542" spans="1:9" ht="15.75" customHeight="1" x14ac:dyDescent="0.15">
      <c r="A542" s="10">
        <f t="shared" si="16"/>
        <v>541</v>
      </c>
      <c r="B542" s="11" t="s">
        <v>31</v>
      </c>
      <c r="C542" s="10" t="s">
        <v>21</v>
      </c>
      <c r="D542" s="11" t="s">
        <v>1901</v>
      </c>
      <c r="E542" s="13" t="s">
        <v>241</v>
      </c>
      <c r="F542" s="11" t="s">
        <v>1902</v>
      </c>
      <c r="G542" s="13"/>
      <c r="H542" s="22">
        <v>0</v>
      </c>
      <c r="I542" s="9">
        <f t="shared" ca="1" si="17"/>
        <v>0.75714867605705516</v>
      </c>
    </row>
    <row r="543" spans="1:9" ht="15.75" hidden="1" customHeight="1" x14ac:dyDescent="0.15">
      <c r="A543" s="10">
        <f t="shared" si="16"/>
        <v>542</v>
      </c>
      <c r="B543" s="11" t="s">
        <v>31</v>
      </c>
      <c r="C543" s="10" t="s">
        <v>16</v>
      </c>
      <c r="D543" s="12" t="s">
        <v>1903</v>
      </c>
      <c r="E543" s="13" t="s">
        <v>127</v>
      </c>
      <c r="F543" s="12" t="s">
        <v>1904</v>
      </c>
      <c r="G543" s="13"/>
      <c r="H543" s="22">
        <v>0</v>
      </c>
      <c r="I543" s="9">
        <f t="shared" ca="1" si="17"/>
        <v>0.28485591122050935</v>
      </c>
    </row>
    <row r="544" spans="1:9" ht="15.75" hidden="1" customHeight="1" x14ac:dyDescent="0.15">
      <c r="A544" s="10">
        <f t="shared" si="16"/>
        <v>543</v>
      </c>
      <c r="B544" s="12" t="s">
        <v>3253</v>
      </c>
      <c r="C544" s="10" t="s">
        <v>11</v>
      </c>
      <c r="D544" s="12" t="s">
        <v>1905</v>
      </c>
      <c r="E544" s="12" t="s">
        <v>1906</v>
      </c>
      <c r="F544" s="11" t="s">
        <v>1907</v>
      </c>
      <c r="G544" s="13"/>
      <c r="H544" s="22">
        <v>0</v>
      </c>
      <c r="I544" s="9">
        <f t="shared" ca="1" si="17"/>
        <v>2.2430601501696956E-2</v>
      </c>
    </row>
    <row r="545" spans="1:9" ht="15.75" customHeight="1" x14ac:dyDescent="0.15">
      <c r="A545" s="10">
        <f t="shared" si="16"/>
        <v>544</v>
      </c>
      <c r="B545" s="11" t="s">
        <v>36</v>
      </c>
      <c r="C545" s="10" t="s">
        <v>21</v>
      </c>
      <c r="D545" s="12" t="s">
        <v>1908</v>
      </c>
      <c r="E545" s="13" t="s">
        <v>560</v>
      </c>
      <c r="F545" s="12" t="s">
        <v>1909</v>
      </c>
      <c r="G545" s="13"/>
      <c r="H545" s="22">
        <v>0</v>
      </c>
      <c r="I545" s="9">
        <f t="shared" ca="1" si="17"/>
        <v>5.4946345965043775E-2</v>
      </c>
    </row>
    <row r="546" spans="1:9" ht="15.75" customHeight="1" x14ac:dyDescent="0.15">
      <c r="A546" s="10">
        <f t="shared" si="16"/>
        <v>545</v>
      </c>
      <c r="B546" s="11" t="s">
        <v>31</v>
      </c>
      <c r="C546" s="10" t="s">
        <v>32</v>
      </c>
      <c r="D546" s="11" t="s">
        <v>1910</v>
      </c>
      <c r="E546" s="12" t="s">
        <v>174</v>
      </c>
      <c r="F546" s="11" t="s">
        <v>1911</v>
      </c>
      <c r="G546" s="13"/>
      <c r="H546" s="22">
        <v>0</v>
      </c>
      <c r="I546" s="9">
        <f t="shared" ca="1" si="17"/>
        <v>0.11266716493508244</v>
      </c>
    </row>
    <row r="547" spans="1:9" ht="15.75" customHeight="1" x14ac:dyDescent="0.15">
      <c r="A547" s="10">
        <f t="shared" si="16"/>
        <v>546</v>
      </c>
      <c r="B547" s="12" t="s">
        <v>3253</v>
      </c>
      <c r="C547" s="10" t="s">
        <v>32</v>
      </c>
      <c r="D547" s="11" t="s">
        <v>1912</v>
      </c>
      <c r="E547" s="12" t="s">
        <v>174</v>
      </c>
      <c r="F547" s="11" t="s">
        <v>1913</v>
      </c>
      <c r="G547" s="13"/>
      <c r="H547" s="22">
        <v>0</v>
      </c>
      <c r="I547" s="9">
        <f t="shared" ca="1" si="17"/>
        <v>0.32538406147747478</v>
      </c>
    </row>
    <row r="548" spans="1:9" ht="15.75" hidden="1" customHeight="1" x14ac:dyDescent="0.15">
      <c r="A548" s="10">
        <f t="shared" si="16"/>
        <v>547</v>
      </c>
      <c r="B548" s="12" t="s">
        <v>3253</v>
      </c>
      <c r="C548" s="10" t="s">
        <v>11</v>
      </c>
      <c r="D548" s="12" t="s">
        <v>1914</v>
      </c>
      <c r="E548" s="12" t="s">
        <v>1915</v>
      </c>
      <c r="F548" s="11" t="s">
        <v>1916</v>
      </c>
      <c r="G548" s="13"/>
      <c r="H548" s="22">
        <v>0</v>
      </c>
      <c r="I548" s="9">
        <f t="shared" ca="1" si="17"/>
        <v>0.37267948147576813</v>
      </c>
    </row>
    <row r="549" spans="1:9" ht="15.75" hidden="1" customHeight="1" x14ac:dyDescent="0.15">
      <c r="A549" s="10">
        <f t="shared" si="16"/>
        <v>548</v>
      </c>
      <c r="B549" s="10" t="s">
        <v>20</v>
      </c>
      <c r="C549" s="10" t="s">
        <v>16</v>
      </c>
      <c r="D549" s="11" t="s">
        <v>1917</v>
      </c>
      <c r="E549" s="13" t="s">
        <v>106</v>
      </c>
      <c r="F549" s="19" t="s">
        <v>1918</v>
      </c>
      <c r="G549" s="13"/>
      <c r="H549" s="22">
        <v>0</v>
      </c>
      <c r="I549" s="9">
        <f t="shared" ca="1" si="17"/>
        <v>0.92752748659371753</v>
      </c>
    </row>
    <row r="550" spans="1:9" ht="15.75" customHeight="1" x14ac:dyDescent="0.15">
      <c r="A550" s="10">
        <f t="shared" si="16"/>
        <v>549</v>
      </c>
      <c r="B550" s="10" t="s">
        <v>20</v>
      </c>
      <c r="C550" s="10" t="s">
        <v>21</v>
      </c>
      <c r="D550" s="11" t="s">
        <v>1919</v>
      </c>
      <c r="E550" s="13" t="s">
        <v>620</v>
      </c>
      <c r="F550" s="12" t="s">
        <v>1920</v>
      </c>
      <c r="G550" s="13"/>
      <c r="H550" s="22">
        <v>0</v>
      </c>
      <c r="I550" s="9">
        <f t="shared" ca="1" si="17"/>
        <v>0.22660947646128204</v>
      </c>
    </row>
    <row r="551" spans="1:9" ht="15.75" customHeight="1" x14ac:dyDescent="0.15">
      <c r="A551" s="10">
        <f t="shared" si="16"/>
        <v>550</v>
      </c>
      <c r="B551" s="12" t="s">
        <v>1266</v>
      </c>
      <c r="C551" s="10" t="s">
        <v>21</v>
      </c>
      <c r="D551" s="12" t="s">
        <v>1921</v>
      </c>
      <c r="E551" s="13" t="s">
        <v>136</v>
      </c>
      <c r="F551" s="12" t="s">
        <v>1922</v>
      </c>
      <c r="G551" s="13"/>
      <c r="H551" s="22">
        <v>0</v>
      </c>
      <c r="I551" s="9">
        <f t="shared" ca="1" si="17"/>
        <v>0.24937034828135296</v>
      </c>
    </row>
    <row r="552" spans="1:9" ht="15.75" customHeight="1" x14ac:dyDescent="0.15">
      <c r="A552" s="10">
        <f t="shared" si="16"/>
        <v>551</v>
      </c>
      <c r="B552" s="12" t="s">
        <v>3253</v>
      </c>
      <c r="C552" s="10" t="s">
        <v>27</v>
      </c>
      <c r="D552" s="11" t="s">
        <v>1923</v>
      </c>
      <c r="E552" s="11" t="s">
        <v>1924</v>
      </c>
      <c r="F552" s="11" t="s">
        <v>1925</v>
      </c>
      <c r="G552" s="13"/>
      <c r="H552" s="22">
        <v>0</v>
      </c>
      <c r="I552" s="9">
        <f t="shared" ca="1" si="17"/>
        <v>0.12307384051599912</v>
      </c>
    </row>
    <row r="553" spans="1:9" ht="15.75" hidden="1" customHeight="1" x14ac:dyDescent="0.15">
      <c r="A553" s="10">
        <f t="shared" si="16"/>
        <v>552</v>
      </c>
      <c r="B553" s="10" t="s">
        <v>20</v>
      </c>
      <c r="C553" s="10" t="s">
        <v>16</v>
      </c>
      <c r="D553" s="12" t="s">
        <v>1926</v>
      </c>
      <c r="E553" s="13" t="s">
        <v>98</v>
      </c>
      <c r="F553" s="12" t="s">
        <v>1927</v>
      </c>
      <c r="G553" s="13"/>
      <c r="H553" s="22">
        <v>0</v>
      </c>
      <c r="I553" s="9">
        <f t="shared" ca="1" si="17"/>
        <v>9.5613042383776881E-2</v>
      </c>
    </row>
    <row r="554" spans="1:9" ht="15.75" customHeight="1" x14ac:dyDescent="0.15">
      <c r="A554" s="10">
        <f t="shared" si="16"/>
        <v>553</v>
      </c>
      <c r="B554" s="12" t="s">
        <v>1266</v>
      </c>
      <c r="C554" s="10" t="s">
        <v>32</v>
      </c>
      <c r="D554" s="11" t="s">
        <v>1928</v>
      </c>
      <c r="E554" s="12" t="s">
        <v>174</v>
      </c>
      <c r="F554" s="11" t="s">
        <v>1929</v>
      </c>
      <c r="G554" s="13"/>
      <c r="H554" s="22">
        <v>0</v>
      </c>
      <c r="I554" s="9">
        <f t="shared" ca="1" si="17"/>
        <v>0.57056733530057757</v>
      </c>
    </row>
    <row r="555" spans="1:9" ht="15.75" hidden="1" customHeight="1" x14ac:dyDescent="0.15">
      <c r="A555" s="10">
        <f t="shared" si="16"/>
        <v>554</v>
      </c>
      <c r="B555" s="11" t="s">
        <v>36</v>
      </c>
      <c r="C555" s="10" t="s">
        <v>11</v>
      </c>
      <c r="D555" s="11" t="s">
        <v>1930</v>
      </c>
      <c r="E555" s="12" t="s">
        <v>1931</v>
      </c>
      <c r="F555" s="11" t="s">
        <v>1932</v>
      </c>
      <c r="G555" s="13"/>
      <c r="H555" s="22">
        <v>0</v>
      </c>
      <c r="I555" s="9">
        <f t="shared" ca="1" si="17"/>
        <v>0.27006824632552329</v>
      </c>
    </row>
    <row r="556" spans="1:9" ht="15.75" customHeight="1" x14ac:dyDescent="0.15">
      <c r="A556" s="10">
        <f t="shared" si="16"/>
        <v>555</v>
      </c>
      <c r="B556" s="12" t="s">
        <v>1266</v>
      </c>
      <c r="C556" s="10" t="s">
        <v>27</v>
      </c>
      <c r="D556" s="12" t="s">
        <v>1933</v>
      </c>
      <c r="E556" s="12" t="s">
        <v>1934</v>
      </c>
      <c r="F556" s="12" t="s">
        <v>1935</v>
      </c>
      <c r="G556" s="13"/>
      <c r="H556" s="22">
        <v>0</v>
      </c>
      <c r="I556" s="9">
        <f t="shared" ca="1" si="17"/>
        <v>0.71917214299101484</v>
      </c>
    </row>
    <row r="557" spans="1:9" ht="15.75" hidden="1" customHeight="1" x14ac:dyDescent="0.15">
      <c r="A557" s="10">
        <f t="shared" si="16"/>
        <v>556</v>
      </c>
      <c r="B557" s="11" t="s">
        <v>36</v>
      </c>
      <c r="C557" s="10" t="s">
        <v>11</v>
      </c>
      <c r="D557" s="11" t="s">
        <v>1936</v>
      </c>
      <c r="E557" s="12" t="s">
        <v>1937</v>
      </c>
      <c r="F557" s="11" t="s">
        <v>1938</v>
      </c>
      <c r="G557" s="13"/>
      <c r="H557" s="22">
        <v>0</v>
      </c>
      <c r="I557" s="9">
        <f t="shared" ca="1" si="17"/>
        <v>0.64250629984843621</v>
      </c>
    </row>
    <row r="558" spans="1:9" ht="15.75" hidden="1" customHeight="1" x14ac:dyDescent="0.15">
      <c r="A558" s="10">
        <f t="shared" si="16"/>
        <v>557</v>
      </c>
      <c r="B558" s="12" t="s">
        <v>20</v>
      </c>
      <c r="C558" s="10" t="s">
        <v>16</v>
      </c>
      <c r="D558" s="11" t="s">
        <v>1939</v>
      </c>
      <c r="E558" s="13" t="s">
        <v>159</v>
      </c>
      <c r="F558" s="12" t="s">
        <v>1940</v>
      </c>
      <c r="G558" s="13"/>
      <c r="H558" s="22">
        <v>0</v>
      </c>
      <c r="I558" s="9">
        <f t="shared" ca="1" si="17"/>
        <v>0.88543940474509519</v>
      </c>
    </row>
    <row r="559" spans="1:9" ht="15.75" hidden="1" customHeight="1" x14ac:dyDescent="0.15">
      <c r="A559" s="10">
        <f t="shared" si="16"/>
        <v>558</v>
      </c>
      <c r="B559" s="12" t="s">
        <v>3253</v>
      </c>
      <c r="C559" s="10" t="s">
        <v>16</v>
      </c>
      <c r="D559" s="12" t="s">
        <v>1941</v>
      </c>
      <c r="E559" s="13" t="s">
        <v>127</v>
      </c>
      <c r="F559" s="12" t="s">
        <v>1942</v>
      </c>
      <c r="G559" s="13"/>
      <c r="H559" s="22">
        <v>0</v>
      </c>
      <c r="I559" s="9">
        <f t="shared" ca="1" si="17"/>
        <v>0.31581411903043299</v>
      </c>
    </row>
    <row r="560" spans="1:9" ht="15.75" hidden="1" customHeight="1" x14ac:dyDescent="0.15">
      <c r="A560" s="10">
        <f t="shared" si="16"/>
        <v>559</v>
      </c>
      <c r="B560" s="11" t="s">
        <v>31</v>
      </c>
      <c r="C560" s="10" t="s">
        <v>16</v>
      </c>
      <c r="D560" s="11" t="s">
        <v>1943</v>
      </c>
      <c r="E560" s="13" t="s">
        <v>127</v>
      </c>
      <c r="F560" s="11" t="s">
        <v>1944</v>
      </c>
      <c r="G560" s="13"/>
      <c r="H560" s="22">
        <v>0</v>
      </c>
      <c r="I560" s="9">
        <f t="shared" ca="1" si="17"/>
        <v>0.59293811107673167</v>
      </c>
    </row>
    <row r="561" spans="1:9" ht="15.75" customHeight="1" x14ac:dyDescent="0.15">
      <c r="A561" s="10">
        <f t="shared" si="16"/>
        <v>560</v>
      </c>
      <c r="B561" s="10" t="s">
        <v>20</v>
      </c>
      <c r="C561" s="10" t="s">
        <v>27</v>
      </c>
      <c r="D561" s="11" t="s">
        <v>1945</v>
      </c>
      <c r="E561" s="11" t="s">
        <v>1946</v>
      </c>
      <c r="F561" s="11" t="s">
        <v>1947</v>
      </c>
      <c r="G561" s="13"/>
      <c r="H561" s="22">
        <v>0</v>
      </c>
      <c r="I561" s="9">
        <f t="shared" ca="1" si="17"/>
        <v>5.5593332891857195E-2</v>
      </c>
    </row>
    <row r="562" spans="1:9" ht="15.75" hidden="1" customHeight="1" x14ac:dyDescent="0.15">
      <c r="A562" s="10">
        <f t="shared" si="16"/>
        <v>561</v>
      </c>
      <c r="B562" s="11" t="s">
        <v>36</v>
      </c>
      <c r="C562" s="10" t="s">
        <v>16</v>
      </c>
      <c r="D562" s="12" t="s">
        <v>1948</v>
      </c>
      <c r="E562" s="13" t="s">
        <v>159</v>
      </c>
      <c r="F562" s="12" t="s">
        <v>1949</v>
      </c>
      <c r="G562" s="13"/>
      <c r="H562" s="14">
        <v>1</v>
      </c>
      <c r="I562" s="9">
        <f t="shared" ca="1" si="17"/>
        <v>0.27789895692651367</v>
      </c>
    </row>
    <row r="563" spans="1:9" ht="15.75" hidden="1" customHeight="1" x14ac:dyDescent="0.15">
      <c r="A563" s="10">
        <f t="shared" si="16"/>
        <v>562</v>
      </c>
      <c r="B563" s="12" t="s">
        <v>3253</v>
      </c>
      <c r="C563" s="10" t="s">
        <v>11</v>
      </c>
      <c r="D563" s="12" t="s">
        <v>1950</v>
      </c>
      <c r="E563" s="12" t="s">
        <v>1951</v>
      </c>
      <c r="F563" s="11" t="s">
        <v>1952</v>
      </c>
      <c r="G563" s="13"/>
      <c r="H563" s="22">
        <v>0</v>
      </c>
      <c r="I563" s="9">
        <f t="shared" ca="1" si="17"/>
        <v>9.8572859884459296E-2</v>
      </c>
    </row>
    <row r="564" spans="1:9" ht="15.75" customHeight="1" x14ac:dyDescent="0.15">
      <c r="A564" s="10">
        <f t="shared" si="16"/>
        <v>563</v>
      </c>
      <c r="B564" s="12" t="s">
        <v>3253</v>
      </c>
      <c r="C564" s="10" t="s">
        <v>27</v>
      </c>
      <c r="D564" s="11" t="s">
        <v>1953</v>
      </c>
      <c r="E564" s="11" t="s">
        <v>1954</v>
      </c>
      <c r="F564" s="11" t="s">
        <v>1955</v>
      </c>
      <c r="G564" s="13"/>
      <c r="H564" s="22">
        <v>0</v>
      </c>
      <c r="I564" s="9">
        <f t="shared" ca="1" si="17"/>
        <v>0.9741805122182251</v>
      </c>
    </row>
    <row r="565" spans="1:9" ht="15.75" hidden="1" customHeight="1" x14ac:dyDescent="0.15">
      <c r="A565" s="10">
        <f t="shared" si="16"/>
        <v>564</v>
      </c>
      <c r="B565" s="11" t="s">
        <v>36</v>
      </c>
      <c r="C565" s="10" t="s">
        <v>11</v>
      </c>
      <c r="D565" s="11" t="s">
        <v>1956</v>
      </c>
      <c r="E565" s="12" t="s">
        <v>1957</v>
      </c>
      <c r="F565" s="11" t="s">
        <v>1958</v>
      </c>
      <c r="G565" s="13"/>
      <c r="H565" s="22">
        <v>0</v>
      </c>
      <c r="I565" s="9">
        <f t="shared" ca="1" si="17"/>
        <v>0.87678611765165126</v>
      </c>
    </row>
    <row r="566" spans="1:9" ht="15.75" hidden="1" customHeight="1" x14ac:dyDescent="0.15">
      <c r="A566" s="10">
        <f t="shared" si="16"/>
        <v>565</v>
      </c>
      <c r="B566" s="12" t="s">
        <v>3253</v>
      </c>
      <c r="C566" s="10" t="s">
        <v>16</v>
      </c>
      <c r="D566" s="12" t="s">
        <v>1959</v>
      </c>
      <c r="E566" s="13" t="s">
        <v>98</v>
      </c>
      <c r="F566" s="12" t="s">
        <v>1960</v>
      </c>
      <c r="G566" s="13"/>
      <c r="H566" s="14">
        <v>1</v>
      </c>
      <c r="I566" s="9">
        <f t="shared" ca="1" si="17"/>
        <v>0.47322275688981319</v>
      </c>
    </row>
    <row r="567" spans="1:9" ht="15.75" customHeight="1" x14ac:dyDescent="0.15">
      <c r="A567" s="10">
        <f t="shared" si="16"/>
        <v>566</v>
      </c>
      <c r="B567" s="12" t="s">
        <v>1266</v>
      </c>
      <c r="C567" s="10" t="s">
        <v>27</v>
      </c>
      <c r="D567" s="12" t="s">
        <v>1961</v>
      </c>
      <c r="E567" s="12" t="s">
        <v>1962</v>
      </c>
      <c r="F567" s="12" t="s">
        <v>1963</v>
      </c>
      <c r="G567" s="13"/>
      <c r="H567" s="22">
        <v>0</v>
      </c>
      <c r="I567" s="9">
        <f t="shared" ca="1" si="17"/>
        <v>0.52252411685230848</v>
      </c>
    </row>
    <row r="568" spans="1:9" ht="15.75" customHeight="1" x14ac:dyDescent="0.15">
      <c r="A568" s="10">
        <f t="shared" si="16"/>
        <v>567</v>
      </c>
      <c r="B568" s="11" t="s">
        <v>31</v>
      </c>
      <c r="C568" s="10" t="s">
        <v>27</v>
      </c>
      <c r="D568" s="12" t="s">
        <v>1964</v>
      </c>
      <c r="E568" s="12" t="s">
        <v>1965</v>
      </c>
      <c r="F568" s="12" t="s">
        <v>1966</v>
      </c>
      <c r="G568" s="13"/>
      <c r="H568" s="22">
        <v>0</v>
      </c>
      <c r="I568" s="9">
        <f t="shared" ca="1" si="17"/>
        <v>0.13732984039446783</v>
      </c>
    </row>
    <row r="569" spans="1:9" ht="15.75" customHeight="1" x14ac:dyDescent="0.15">
      <c r="A569" s="10">
        <f t="shared" si="16"/>
        <v>568</v>
      </c>
      <c r="B569" s="12" t="s">
        <v>3253</v>
      </c>
      <c r="C569" s="10" t="s">
        <v>21</v>
      </c>
      <c r="D569" s="11" t="s">
        <v>1967</v>
      </c>
      <c r="E569" s="13" t="s">
        <v>1187</v>
      </c>
      <c r="F569" s="11" t="s">
        <v>1968</v>
      </c>
      <c r="G569" s="13"/>
      <c r="H569" s="22">
        <v>0</v>
      </c>
      <c r="I569" s="9">
        <f t="shared" ca="1" si="17"/>
        <v>0.46527163762318546</v>
      </c>
    </row>
    <row r="570" spans="1:9" ht="15.75" customHeight="1" x14ac:dyDescent="0.15">
      <c r="A570" s="10">
        <f t="shared" si="16"/>
        <v>569</v>
      </c>
      <c r="B570" s="11" t="s">
        <v>36</v>
      </c>
      <c r="C570" s="10" t="s">
        <v>32</v>
      </c>
      <c r="D570" s="11" t="s">
        <v>1969</v>
      </c>
      <c r="E570" s="12" t="s">
        <v>286</v>
      </c>
      <c r="F570" s="11" t="s">
        <v>1970</v>
      </c>
      <c r="G570" s="13"/>
      <c r="H570" s="22">
        <v>0</v>
      </c>
      <c r="I570" s="9">
        <f t="shared" ca="1" si="17"/>
        <v>0.3545105979786406</v>
      </c>
    </row>
    <row r="571" spans="1:9" ht="15.75" hidden="1" customHeight="1" x14ac:dyDescent="0.15">
      <c r="A571" s="10">
        <f t="shared" si="16"/>
        <v>570</v>
      </c>
      <c r="B571" s="11" t="s">
        <v>36</v>
      </c>
      <c r="C571" s="10" t="s">
        <v>16</v>
      </c>
      <c r="D571" s="11" t="s">
        <v>1971</v>
      </c>
      <c r="E571" s="13" t="s">
        <v>127</v>
      </c>
      <c r="F571" s="11" t="s">
        <v>1972</v>
      </c>
      <c r="G571" s="13"/>
      <c r="H571" s="22">
        <v>0</v>
      </c>
      <c r="I571" s="9">
        <f t="shared" ca="1" si="17"/>
        <v>1.4068024063509932E-2</v>
      </c>
    </row>
    <row r="572" spans="1:9" ht="15.75" customHeight="1" x14ac:dyDescent="0.15">
      <c r="A572" s="10">
        <f t="shared" si="16"/>
        <v>571</v>
      </c>
      <c r="B572" s="11" t="s">
        <v>36</v>
      </c>
      <c r="C572" s="10" t="s">
        <v>27</v>
      </c>
      <c r="D572" s="11" t="s">
        <v>1973</v>
      </c>
      <c r="E572" s="15">
        <v>240</v>
      </c>
      <c r="F572" s="11" t="s">
        <v>1974</v>
      </c>
      <c r="G572" s="13"/>
      <c r="H572" s="14">
        <v>1</v>
      </c>
      <c r="I572" s="9">
        <f t="shared" ca="1" si="17"/>
        <v>0.40792837028838069</v>
      </c>
    </row>
    <row r="573" spans="1:9" ht="15.75" hidden="1" customHeight="1" x14ac:dyDescent="0.15">
      <c r="A573" s="10">
        <f t="shared" si="16"/>
        <v>572</v>
      </c>
      <c r="B573" s="12" t="s">
        <v>3253</v>
      </c>
      <c r="C573" s="10" t="s">
        <v>11</v>
      </c>
      <c r="D573" s="12" t="s">
        <v>1975</v>
      </c>
      <c r="E573" s="12" t="s">
        <v>1976</v>
      </c>
      <c r="F573" s="11" t="s">
        <v>1977</v>
      </c>
      <c r="G573" s="13"/>
      <c r="H573" s="22">
        <v>0</v>
      </c>
      <c r="I573" s="9">
        <f t="shared" ca="1" si="17"/>
        <v>0.77278497622904718</v>
      </c>
    </row>
    <row r="574" spans="1:9" ht="15.75" hidden="1" customHeight="1" x14ac:dyDescent="0.15">
      <c r="A574" s="10">
        <f t="shared" si="16"/>
        <v>573</v>
      </c>
      <c r="B574" s="12" t="s">
        <v>1266</v>
      </c>
      <c r="C574" s="10" t="s">
        <v>16</v>
      </c>
      <c r="D574" s="11" t="s">
        <v>1978</v>
      </c>
      <c r="E574" s="13" t="s">
        <v>98</v>
      </c>
      <c r="F574" s="11" t="s">
        <v>1979</v>
      </c>
      <c r="G574" s="13"/>
      <c r="H574" s="22">
        <v>0</v>
      </c>
      <c r="I574" s="9">
        <f t="shared" ca="1" si="17"/>
        <v>0.47899531584064214</v>
      </c>
    </row>
    <row r="575" spans="1:9" ht="15.75" customHeight="1" x14ac:dyDescent="0.15">
      <c r="A575" s="10">
        <f t="shared" si="16"/>
        <v>574</v>
      </c>
      <c r="B575" s="11" t="s">
        <v>36</v>
      </c>
      <c r="C575" s="10" t="s">
        <v>32</v>
      </c>
      <c r="D575" s="11" t="s">
        <v>1980</v>
      </c>
      <c r="E575" s="12" t="s">
        <v>174</v>
      </c>
      <c r="F575" s="11" t="s">
        <v>1981</v>
      </c>
      <c r="G575" s="13"/>
      <c r="H575" s="22">
        <v>0</v>
      </c>
      <c r="I575" s="9">
        <f t="shared" ca="1" si="17"/>
        <v>3.3634199661786934E-2</v>
      </c>
    </row>
    <row r="576" spans="1:9" ht="15.75" customHeight="1" x14ac:dyDescent="0.15">
      <c r="A576" s="10">
        <f t="shared" si="16"/>
        <v>575</v>
      </c>
      <c r="B576" s="12" t="s">
        <v>1266</v>
      </c>
      <c r="C576" s="10" t="s">
        <v>27</v>
      </c>
      <c r="D576" s="12" t="s">
        <v>1982</v>
      </c>
      <c r="E576" s="12" t="s">
        <v>1983</v>
      </c>
      <c r="F576" s="12" t="s">
        <v>1984</v>
      </c>
      <c r="G576" s="13"/>
      <c r="H576" s="22">
        <v>0</v>
      </c>
      <c r="I576" s="9">
        <f t="shared" ca="1" si="17"/>
        <v>0.96254875928378503</v>
      </c>
    </row>
    <row r="577" spans="1:9" ht="15.75" customHeight="1" x14ac:dyDescent="0.15">
      <c r="A577" s="10">
        <f t="shared" si="16"/>
        <v>576</v>
      </c>
      <c r="B577" s="11" t="s">
        <v>31</v>
      </c>
      <c r="C577" s="10" t="s">
        <v>21</v>
      </c>
      <c r="D577" s="11" t="s">
        <v>1985</v>
      </c>
      <c r="E577" s="13" t="s">
        <v>1187</v>
      </c>
      <c r="F577" s="11" t="s">
        <v>1986</v>
      </c>
      <c r="G577" s="13"/>
      <c r="H577" s="22">
        <v>0</v>
      </c>
      <c r="I577" s="9">
        <f t="shared" ca="1" si="17"/>
        <v>0.16558581947037943</v>
      </c>
    </row>
    <row r="578" spans="1:9" ht="15.75" hidden="1" customHeight="1" x14ac:dyDescent="0.15">
      <c r="A578" s="10">
        <f t="shared" si="16"/>
        <v>577</v>
      </c>
      <c r="B578" s="11" t="s">
        <v>31</v>
      </c>
      <c r="C578" s="10" t="s">
        <v>16</v>
      </c>
      <c r="D578" s="11" t="s">
        <v>1987</v>
      </c>
      <c r="E578" s="13" t="s">
        <v>98</v>
      </c>
      <c r="F578" s="11" t="s">
        <v>1988</v>
      </c>
      <c r="G578" s="13"/>
      <c r="H578" s="14">
        <v>1</v>
      </c>
      <c r="I578" s="9">
        <f t="shared" ca="1" si="17"/>
        <v>0.1898201261688196</v>
      </c>
    </row>
    <row r="579" spans="1:9" ht="15.75" hidden="1" customHeight="1" x14ac:dyDescent="0.15">
      <c r="A579" s="10">
        <f t="shared" ref="A579:A642" si="18">ROW() - 1</f>
        <v>578</v>
      </c>
      <c r="B579" s="12" t="s">
        <v>3253</v>
      </c>
      <c r="C579" s="10" t="s">
        <v>11</v>
      </c>
      <c r="D579" s="12" t="s">
        <v>1989</v>
      </c>
      <c r="E579" s="12" t="s">
        <v>1990</v>
      </c>
      <c r="F579" s="11" t="s">
        <v>1991</v>
      </c>
      <c r="G579" s="13"/>
      <c r="H579" s="22">
        <v>0</v>
      </c>
      <c r="I579" s="9">
        <f t="shared" ca="1" si="17"/>
        <v>0.35680745940083491</v>
      </c>
    </row>
    <row r="580" spans="1:9" ht="15.75" customHeight="1" x14ac:dyDescent="0.15">
      <c r="A580" s="10">
        <f t="shared" si="18"/>
        <v>579</v>
      </c>
      <c r="B580" s="10" t="s">
        <v>20</v>
      </c>
      <c r="C580" s="10" t="s">
        <v>21</v>
      </c>
      <c r="D580" s="12" t="s">
        <v>1992</v>
      </c>
      <c r="E580" s="13" t="s">
        <v>134</v>
      </c>
      <c r="F580" s="12" t="s">
        <v>1993</v>
      </c>
      <c r="G580" s="13"/>
      <c r="H580" s="22">
        <v>0</v>
      </c>
      <c r="I580" s="9">
        <f t="shared" ref="I580:I643" ca="1" si="19">RAND()</f>
        <v>0.82690228182790448</v>
      </c>
    </row>
    <row r="581" spans="1:9" ht="15.75" hidden="1" customHeight="1" x14ac:dyDescent="0.15">
      <c r="A581" s="10">
        <f t="shared" si="18"/>
        <v>580</v>
      </c>
      <c r="B581" s="12" t="s">
        <v>3253</v>
      </c>
      <c r="C581" s="10" t="s">
        <v>11</v>
      </c>
      <c r="D581" s="12" t="s">
        <v>1994</v>
      </c>
      <c r="E581" s="12" t="s">
        <v>1995</v>
      </c>
      <c r="F581" s="11" t="s">
        <v>1996</v>
      </c>
      <c r="G581" s="13"/>
      <c r="H581" s="22">
        <v>0</v>
      </c>
      <c r="I581" s="9">
        <f t="shared" ca="1" si="19"/>
        <v>0.44226883409328821</v>
      </c>
    </row>
    <row r="582" spans="1:9" ht="15.75" customHeight="1" x14ac:dyDescent="0.15">
      <c r="A582" s="10">
        <f t="shared" si="18"/>
        <v>581</v>
      </c>
      <c r="B582" s="12" t="s">
        <v>3253</v>
      </c>
      <c r="C582" s="10" t="s">
        <v>27</v>
      </c>
      <c r="D582" s="11" t="s">
        <v>1997</v>
      </c>
      <c r="E582" s="11" t="s">
        <v>1998</v>
      </c>
      <c r="F582" s="11" t="s">
        <v>1999</v>
      </c>
      <c r="G582" s="13"/>
      <c r="H582" s="22">
        <v>0</v>
      </c>
      <c r="I582" s="9">
        <f t="shared" ca="1" si="19"/>
        <v>0.55910268683695807</v>
      </c>
    </row>
    <row r="583" spans="1:9" ht="15.75" customHeight="1" x14ac:dyDescent="0.15">
      <c r="A583" s="10">
        <f t="shared" si="18"/>
        <v>582</v>
      </c>
      <c r="B583" s="12" t="s">
        <v>3253</v>
      </c>
      <c r="C583" s="10" t="s">
        <v>32</v>
      </c>
      <c r="D583" s="12" t="s">
        <v>2000</v>
      </c>
      <c r="E583" s="12" t="s">
        <v>174</v>
      </c>
      <c r="F583" s="11" t="s">
        <v>2001</v>
      </c>
      <c r="G583" s="13"/>
      <c r="H583" s="22">
        <v>0</v>
      </c>
      <c r="I583" s="9">
        <f t="shared" ca="1" si="19"/>
        <v>0.76756542194701549</v>
      </c>
    </row>
    <row r="584" spans="1:9" ht="15.75" customHeight="1" x14ac:dyDescent="0.15">
      <c r="A584" s="10">
        <f t="shared" si="18"/>
        <v>583</v>
      </c>
      <c r="B584" s="11" t="s">
        <v>31</v>
      </c>
      <c r="C584" s="10" t="s">
        <v>32</v>
      </c>
      <c r="D584" s="11" t="s">
        <v>2002</v>
      </c>
      <c r="E584" s="12" t="s">
        <v>286</v>
      </c>
      <c r="F584" s="11" t="s">
        <v>2003</v>
      </c>
      <c r="G584" s="13"/>
      <c r="H584" s="22">
        <v>0</v>
      </c>
      <c r="I584" s="9">
        <f t="shared" ca="1" si="19"/>
        <v>0.91051150503587419</v>
      </c>
    </row>
    <row r="585" spans="1:9" ht="15.75" customHeight="1" x14ac:dyDescent="0.15">
      <c r="A585" s="10">
        <f t="shared" si="18"/>
        <v>584</v>
      </c>
      <c r="B585" s="12" t="s">
        <v>3253</v>
      </c>
      <c r="C585" s="10" t="s">
        <v>32</v>
      </c>
      <c r="D585" s="12" t="s">
        <v>2004</v>
      </c>
      <c r="E585" s="12" t="s">
        <v>174</v>
      </c>
      <c r="F585" s="11" t="s">
        <v>2005</v>
      </c>
      <c r="G585" s="13"/>
      <c r="H585" s="22">
        <v>0</v>
      </c>
      <c r="I585" s="9">
        <f t="shared" ca="1" si="19"/>
        <v>0.9419215449909708</v>
      </c>
    </row>
    <row r="586" spans="1:9" ht="15.75" hidden="1" customHeight="1" x14ac:dyDescent="0.2">
      <c r="A586" s="10">
        <f t="shared" si="18"/>
        <v>585</v>
      </c>
      <c r="B586" s="12" t="s">
        <v>20</v>
      </c>
      <c r="C586" s="10" t="s">
        <v>16</v>
      </c>
      <c r="D586" s="20" t="s">
        <v>2006</v>
      </c>
      <c r="E586" s="13" t="s">
        <v>159</v>
      </c>
      <c r="F586" s="11" t="s">
        <v>2007</v>
      </c>
      <c r="G586" s="13"/>
      <c r="H586" s="14">
        <v>1</v>
      </c>
      <c r="I586" s="9">
        <f t="shared" ca="1" si="19"/>
        <v>0.49487298404297009</v>
      </c>
    </row>
    <row r="587" spans="1:9" ht="15.75" hidden="1" customHeight="1" x14ac:dyDescent="0.15">
      <c r="A587" s="10">
        <f t="shared" si="18"/>
        <v>586</v>
      </c>
      <c r="B587" s="11" t="s">
        <v>36</v>
      </c>
      <c r="C587" s="10" t="s">
        <v>16</v>
      </c>
      <c r="D587" s="12" t="s">
        <v>2008</v>
      </c>
      <c r="E587" s="13" t="s">
        <v>159</v>
      </c>
      <c r="F587" s="12" t="s">
        <v>2009</v>
      </c>
      <c r="G587" s="13"/>
      <c r="H587" s="22">
        <v>0</v>
      </c>
      <c r="I587" s="9">
        <f t="shared" ca="1" si="19"/>
        <v>0.74933835481486222</v>
      </c>
    </row>
    <row r="588" spans="1:9" ht="15.75" hidden="1" customHeight="1" x14ac:dyDescent="0.15">
      <c r="A588" s="10">
        <f t="shared" si="18"/>
        <v>587</v>
      </c>
      <c r="B588" s="12" t="s">
        <v>3253</v>
      </c>
      <c r="C588" s="10" t="s">
        <v>16</v>
      </c>
      <c r="D588" s="12" t="s">
        <v>2010</v>
      </c>
      <c r="E588" s="13" t="s">
        <v>106</v>
      </c>
      <c r="F588" s="12" t="s">
        <v>2011</v>
      </c>
      <c r="G588" s="13"/>
      <c r="H588" s="14">
        <v>1</v>
      </c>
      <c r="I588" s="9">
        <f t="shared" ca="1" si="19"/>
        <v>1.7981000008018277E-2</v>
      </c>
    </row>
    <row r="589" spans="1:9" ht="15.75" hidden="1" customHeight="1" x14ac:dyDescent="0.15">
      <c r="A589" s="10">
        <f t="shared" si="18"/>
        <v>588</v>
      </c>
      <c r="B589" s="12" t="s">
        <v>3253</v>
      </c>
      <c r="C589" s="10" t="s">
        <v>11</v>
      </c>
      <c r="D589" s="12" t="s">
        <v>2012</v>
      </c>
      <c r="E589" s="12" t="s">
        <v>2013</v>
      </c>
      <c r="F589" s="11" t="s">
        <v>2014</v>
      </c>
      <c r="G589" s="13"/>
      <c r="H589" s="22">
        <v>0</v>
      </c>
      <c r="I589" s="9">
        <f t="shared" ca="1" si="19"/>
        <v>0.97863552612118565</v>
      </c>
    </row>
    <row r="590" spans="1:9" ht="15.75" hidden="1" customHeight="1" x14ac:dyDescent="0.2">
      <c r="A590" s="10">
        <f t="shared" si="18"/>
        <v>589</v>
      </c>
      <c r="B590" s="11" t="s">
        <v>36</v>
      </c>
      <c r="C590" s="10" t="s">
        <v>11</v>
      </c>
      <c r="D590" s="16" t="s">
        <v>2015</v>
      </c>
      <c r="E590" s="12" t="s">
        <v>2016</v>
      </c>
      <c r="F590" s="11" t="s">
        <v>2017</v>
      </c>
      <c r="G590" s="13"/>
      <c r="H590" s="22">
        <v>0</v>
      </c>
      <c r="I590" s="9">
        <f t="shared" ca="1" si="19"/>
        <v>7.1632548928579176E-2</v>
      </c>
    </row>
    <row r="591" spans="1:9" ht="15.75" customHeight="1" x14ac:dyDescent="0.15">
      <c r="A591" s="10">
        <f t="shared" si="18"/>
        <v>590</v>
      </c>
      <c r="B591" s="12" t="s">
        <v>1266</v>
      </c>
      <c r="C591" s="10" t="s">
        <v>27</v>
      </c>
      <c r="D591" s="12" t="s">
        <v>2018</v>
      </c>
      <c r="E591" s="12" t="s">
        <v>2019</v>
      </c>
      <c r="F591" s="12" t="s">
        <v>2020</v>
      </c>
      <c r="G591" s="13"/>
      <c r="H591" s="22">
        <v>0</v>
      </c>
      <c r="I591" s="9">
        <f t="shared" ca="1" si="19"/>
        <v>0.82700479975258545</v>
      </c>
    </row>
    <row r="592" spans="1:9" ht="15.75" customHeight="1" x14ac:dyDescent="0.15">
      <c r="A592" s="10">
        <f t="shared" si="18"/>
        <v>591</v>
      </c>
      <c r="B592" s="12" t="s">
        <v>3253</v>
      </c>
      <c r="C592" s="10" t="s">
        <v>32</v>
      </c>
      <c r="D592" s="11" t="s">
        <v>2021</v>
      </c>
      <c r="E592" s="12" t="s">
        <v>174</v>
      </c>
      <c r="F592" s="11" t="s">
        <v>2022</v>
      </c>
      <c r="G592" s="13"/>
      <c r="H592" s="22">
        <v>0</v>
      </c>
      <c r="I592" s="9">
        <f t="shared" ca="1" si="19"/>
        <v>0.21019936795609961</v>
      </c>
    </row>
    <row r="593" spans="1:9" ht="15.75" customHeight="1" x14ac:dyDescent="0.15">
      <c r="A593" s="10">
        <f t="shared" si="18"/>
        <v>592</v>
      </c>
      <c r="B593" s="11" t="s">
        <v>36</v>
      </c>
      <c r="C593" s="10" t="s">
        <v>27</v>
      </c>
      <c r="D593" s="12" t="s">
        <v>2023</v>
      </c>
      <c r="E593" s="12" t="s">
        <v>2024</v>
      </c>
      <c r="F593" s="12" t="s">
        <v>2025</v>
      </c>
      <c r="G593" s="13"/>
      <c r="H593" s="22">
        <v>0</v>
      </c>
      <c r="I593" s="9">
        <f t="shared" ca="1" si="19"/>
        <v>0.9424270356654868</v>
      </c>
    </row>
    <row r="594" spans="1:9" ht="15.75" customHeight="1" x14ac:dyDescent="0.15">
      <c r="A594" s="10">
        <f t="shared" si="18"/>
        <v>593</v>
      </c>
      <c r="B594" s="11" t="s">
        <v>36</v>
      </c>
      <c r="C594" s="10" t="s">
        <v>32</v>
      </c>
      <c r="D594" s="11" t="s">
        <v>2026</v>
      </c>
      <c r="E594" s="12" t="s">
        <v>174</v>
      </c>
      <c r="F594" s="11" t="s">
        <v>2027</v>
      </c>
      <c r="G594" s="13"/>
      <c r="H594" s="22">
        <v>0</v>
      </c>
      <c r="I594" s="9">
        <f t="shared" ca="1" si="19"/>
        <v>0.69308914436074642</v>
      </c>
    </row>
    <row r="595" spans="1:9" ht="15.75" hidden="1" customHeight="1" x14ac:dyDescent="0.15">
      <c r="A595" s="10">
        <f t="shared" si="18"/>
        <v>594</v>
      </c>
      <c r="B595" s="10" t="s">
        <v>20</v>
      </c>
      <c r="C595" s="10" t="s">
        <v>11</v>
      </c>
      <c r="D595" s="11" t="s">
        <v>2028</v>
      </c>
      <c r="E595" s="11" t="s">
        <v>2029</v>
      </c>
      <c r="F595" s="11" t="s">
        <v>2030</v>
      </c>
      <c r="G595" s="13"/>
      <c r="H595" s="22">
        <v>0</v>
      </c>
      <c r="I595" s="9">
        <f t="shared" ca="1" si="19"/>
        <v>0.48072589498997764</v>
      </c>
    </row>
    <row r="596" spans="1:9" ht="15.75" customHeight="1" x14ac:dyDescent="0.15">
      <c r="A596" s="10">
        <f t="shared" si="18"/>
        <v>595</v>
      </c>
      <c r="B596" s="11" t="s">
        <v>31</v>
      </c>
      <c r="C596" s="10" t="s">
        <v>27</v>
      </c>
      <c r="D596" s="12" t="s">
        <v>2031</v>
      </c>
      <c r="E596" s="12" t="s">
        <v>2032</v>
      </c>
      <c r="F596" s="12" t="s">
        <v>2033</v>
      </c>
      <c r="G596" s="13"/>
      <c r="H596" s="22">
        <v>0</v>
      </c>
      <c r="I596" s="9">
        <f t="shared" ca="1" si="19"/>
        <v>0.68841976647304437</v>
      </c>
    </row>
    <row r="597" spans="1:9" ht="15.75" customHeight="1" x14ac:dyDescent="0.15">
      <c r="A597" s="10">
        <f t="shared" si="18"/>
        <v>596</v>
      </c>
      <c r="B597" s="12" t="s">
        <v>3253</v>
      </c>
      <c r="C597" s="10" t="s">
        <v>27</v>
      </c>
      <c r="D597" s="11" t="s">
        <v>2034</v>
      </c>
      <c r="E597" s="11" t="s">
        <v>2035</v>
      </c>
      <c r="F597" s="11" t="s">
        <v>2036</v>
      </c>
      <c r="G597" s="13"/>
      <c r="H597" s="14">
        <v>1</v>
      </c>
      <c r="I597" s="9">
        <f t="shared" ca="1" si="19"/>
        <v>0.43307985160145346</v>
      </c>
    </row>
    <row r="598" spans="1:9" ht="15.75" hidden="1" customHeight="1" x14ac:dyDescent="0.15">
      <c r="A598" s="10">
        <f t="shared" si="18"/>
        <v>597</v>
      </c>
      <c r="B598" s="11" t="s">
        <v>31</v>
      </c>
      <c r="C598" s="10" t="s">
        <v>11</v>
      </c>
      <c r="D598" s="11" t="s">
        <v>2037</v>
      </c>
      <c r="E598" s="12" t="s">
        <v>2038</v>
      </c>
      <c r="F598" s="11" t="s">
        <v>2039</v>
      </c>
      <c r="G598" s="13"/>
      <c r="H598" s="22">
        <v>0</v>
      </c>
      <c r="I598" s="9">
        <f t="shared" ca="1" si="19"/>
        <v>0.91377612968686395</v>
      </c>
    </row>
    <row r="599" spans="1:9" ht="15.75" customHeight="1" x14ac:dyDescent="0.15">
      <c r="A599" s="10">
        <f t="shared" si="18"/>
        <v>598</v>
      </c>
      <c r="B599" s="12" t="s">
        <v>1266</v>
      </c>
      <c r="C599" s="10" t="s">
        <v>27</v>
      </c>
      <c r="D599" s="11" t="s">
        <v>2040</v>
      </c>
      <c r="E599" s="11" t="s">
        <v>2041</v>
      </c>
      <c r="F599" s="11" t="s">
        <v>2042</v>
      </c>
      <c r="G599" s="13"/>
      <c r="H599" s="22">
        <v>0</v>
      </c>
      <c r="I599" s="9">
        <f t="shared" ca="1" si="19"/>
        <v>0.65647171073364863</v>
      </c>
    </row>
    <row r="600" spans="1:9" ht="15.75" customHeight="1" x14ac:dyDescent="0.15">
      <c r="A600" s="10">
        <f t="shared" si="18"/>
        <v>599</v>
      </c>
      <c r="B600" s="12" t="s">
        <v>1266</v>
      </c>
      <c r="C600" s="10" t="s">
        <v>21</v>
      </c>
      <c r="D600" s="11" t="s">
        <v>2043</v>
      </c>
      <c r="E600" s="13" t="s">
        <v>141</v>
      </c>
      <c r="F600" s="11" t="s">
        <v>2044</v>
      </c>
      <c r="G600" s="13"/>
      <c r="H600" s="22">
        <v>0</v>
      </c>
      <c r="I600" s="9">
        <f t="shared" ca="1" si="19"/>
        <v>0.13512240672020959</v>
      </c>
    </row>
    <row r="601" spans="1:9" ht="15.75" hidden="1" customHeight="1" x14ac:dyDescent="0.15">
      <c r="A601" s="10">
        <f t="shared" si="18"/>
        <v>600</v>
      </c>
      <c r="B601" s="12" t="s">
        <v>3253</v>
      </c>
      <c r="C601" s="10" t="s">
        <v>11</v>
      </c>
      <c r="D601" s="12" t="s">
        <v>2045</v>
      </c>
      <c r="E601" s="12" t="s">
        <v>2046</v>
      </c>
      <c r="F601" s="11" t="s">
        <v>2047</v>
      </c>
      <c r="G601" s="13"/>
      <c r="H601" s="22">
        <v>0</v>
      </c>
      <c r="I601" s="9">
        <f t="shared" ca="1" si="19"/>
        <v>0.13391592265703478</v>
      </c>
    </row>
    <row r="602" spans="1:9" ht="15.75" hidden="1" customHeight="1" x14ac:dyDescent="0.15">
      <c r="A602" s="10">
        <f t="shared" si="18"/>
        <v>601</v>
      </c>
      <c r="B602" s="12" t="s">
        <v>1266</v>
      </c>
      <c r="C602" s="10" t="s">
        <v>11</v>
      </c>
      <c r="D602" s="11" t="s">
        <v>2048</v>
      </c>
      <c r="E602" s="12" t="s">
        <v>2049</v>
      </c>
      <c r="F602" s="11" t="s">
        <v>2050</v>
      </c>
      <c r="G602" s="13"/>
      <c r="H602" s="22">
        <v>0</v>
      </c>
      <c r="I602" s="9">
        <f t="shared" ca="1" si="19"/>
        <v>0.39336757961077295</v>
      </c>
    </row>
    <row r="603" spans="1:9" ht="15.75" customHeight="1" x14ac:dyDescent="0.15">
      <c r="A603" s="10">
        <f t="shared" si="18"/>
        <v>602</v>
      </c>
      <c r="B603" s="11" t="s">
        <v>36</v>
      </c>
      <c r="C603" s="10" t="s">
        <v>32</v>
      </c>
      <c r="D603" s="11" t="s">
        <v>2051</v>
      </c>
      <c r="E603" s="12" t="s">
        <v>286</v>
      </c>
      <c r="F603" s="11" t="s">
        <v>2052</v>
      </c>
      <c r="G603" s="13"/>
      <c r="H603" s="22">
        <v>0</v>
      </c>
      <c r="I603" s="9">
        <f t="shared" ca="1" si="19"/>
        <v>0.73630576678024817</v>
      </c>
    </row>
    <row r="604" spans="1:9" ht="15.75" customHeight="1" x14ac:dyDescent="0.15">
      <c r="A604" s="10">
        <f t="shared" si="18"/>
        <v>603</v>
      </c>
      <c r="B604" s="11" t="s">
        <v>31</v>
      </c>
      <c r="C604" s="10" t="s">
        <v>27</v>
      </c>
      <c r="D604" s="12" t="s">
        <v>2053</v>
      </c>
      <c r="E604" s="12" t="s">
        <v>2054</v>
      </c>
      <c r="F604" s="12" t="s">
        <v>2055</v>
      </c>
      <c r="G604" s="13"/>
      <c r="H604" s="22">
        <v>0</v>
      </c>
      <c r="I604" s="9">
        <f t="shared" ca="1" si="19"/>
        <v>2.8786086417817103E-2</v>
      </c>
    </row>
    <row r="605" spans="1:9" ht="15.75" customHeight="1" x14ac:dyDescent="0.15">
      <c r="A605" s="10">
        <f t="shared" si="18"/>
        <v>604</v>
      </c>
      <c r="B605" s="11" t="s">
        <v>36</v>
      </c>
      <c r="C605" s="10" t="s">
        <v>32</v>
      </c>
      <c r="D605" s="11" t="s">
        <v>2056</v>
      </c>
      <c r="E605" s="12" t="s">
        <v>286</v>
      </c>
      <c r="F605" s="11" t="s">
        <v>2057</v>
      </c>
      <c r="G605" s="13"/>
      <c r="H605" s="22">
        <v>0</v>
      </c>
      <c r="I605" s="9">
        <f t="shared" ca="1" si="19"/>
        <v>0.6109256904412389</v>
      </c>
    </row>
    <row r="606" spans="1:9" ht="15.75" hidden="1" customHeight="1" x14ac:dyDescent="0.15">
      <c r="A606" s="10">
        <f t="shared" si="18"/>
        <v>605</v>
      </c>
      <c r="B606" s="12" t="s">
        <v>1266</v>
      </c>
      <c r="C606" s="10" t="s">
        <v>16</v>
      </c>
      <c r="D606" s="11" t="s">
        <v>2058</v>
      </c>
      <c r="E606" s="13" t="s">
        <v>98</v>
      </c>
      <c r="F606" s="11" t="s">
        <v>2059</v>
      </c>
      <c r="G606" s="13"/>
      <c r="H606" s="22">
        <v>0</v>
      </c>
      <c r="I606" s="9">
        <f t="shared" ca="1" si="19"/>
        <v>0.48212188936457046</v>
      </c>
    </row>
    <row r="607" spans="1:9" ht="15.75" hidden="1" customHeight="1" x14ac:dyDescent="0.15">
      <c r="A607" s="10">
        <f t="shared" si="18"/>
        <v>606</v>
      </c>
      <c r="B607" s="12" t="s">
        <v>1266</v>
      </c>
      <c r="C607" s="10" t="s">
        <v>16</v>
      </c>
      <c r="D607" s="11" t="s">
        <v>2060</v>
      </c>
      <c r="E607" s="13" t="s">
        <v>98</v>
      </c>
      <c r="F607" s="11" t="s">
        <v>2061</v>
      </c>
      <c r="G607" s="13"/>
      <c r="H607" s="14">
        <v>1</v>
      </c>
      <c r="I607" s="9">
        <f t="shared" ca="1" si="19"/>
        <v>0.92498640051860603</v>
      </c>
    </row>
    <row r="608" spans="1:9" ht="15.75" customHeight="1" x14ac:dyDescent="0.15">
      <c r="A608" s="10">
        <f t="shared" si="18"/>
        <v>607</v>
      </c>
      <c r="B608" s="12" t="s">
        <v>3253</v>
      </c>
      <c r="C608" s="10" t="s">
        <v>27</v>
      </c>
      <c r="D608" s="12" t="s">
        <v>2062</v>
      </c>
      <c r="E608" s="12" t="s">
        <v>2063</v>
      </c>
      <c r="F608" s="12" t="s">
        <v>2064</v>
      </c>
      <c r="G608" s="13"/>
      <c r="H608" s="22">
        <v>0</v>
      </c>
      <c r="I608" s="9">
        <f t="shared" ca="1" si="19"/>
        <v>0.65843475541868091</v>
      </c>
    </row>
    <row r="609" spans="1:9" ht="15.75" hidden="1" customHeight="1" x14ac:dyDescent="0.15">
      <c r="A609" s="10">
        <f t="shared" si="18"/>
        <v>608</v>
      </c>
      <c r="B609" s="10" t="s">
        <v>20</v>
      </c>
      <c r="C609" s="10" t="s">
        <v>11</v>
      </c>
      <c r="D609" s="11" t="s">
        <v>2065</v>
      </c>
      <c r="E609" s="11" t="s">
        <v>2066</v>
      </c>
      <c r="F609" s="11" t="s">
        <v>2067</v>
      </c>
      <c r="G609" s="13"/>
      <c r="H609" s="22">
        <v>0</v>
      </c>
      <c r="I609" s="9">
        <f t="shared" ca="1" si="19"/>
        <v>0.98209327715572869</v>
      </c>
    </row>
    <row r="610" spans="1:9" ht="15.75" customHeight="1" x14ac:dyDescent="0.15">
      <c r="A610" s="10">
        <f t="shared" si="18"/>
        <v>609</v>
      </c>
      <c r="B610" s="10" t="s">
        <v>20</v>
      </c>
      <c r="C610" s="10" t="s">
        <v>32</v>
      </c>
      <c r="D610" s="11" t="s">
        <v>2068</v>
      </c>
      <c r="E610" s="12" t="s">
        <v>174</v>
      </c>
      <c r="F610" s="11" t="s">
        <v>2069</v>
      </c>
      <c r="G610" s="13"/>
      <c r="H610" s="22">
        <v>0</v>
      </c>
      <c r="I610" s="9">
        <f t="shared" ca="1" si="19"/>
        <v>0.46507362226796356</v>
      </c>
    </row>
    <row r="611" spans="1:9" ht="15.75" customHeight="1" x14ac:dyDescent="0.15">
      <c r="A611" s="10">
        <f t="shared" si="18"/>
        <v>610</v>
      </c>
      <c r="B611" s="10" t="s">
        <v>20</v>
      </c>
      <c r="C611" s="10" t="s">
        <v>32</v>
      </c>
      <c r="D611" s="11" t="s">
        <v>2070</v>
      </c>
      <c r="E611" s="12" t="s">
        <v>174</v>
      </c>
      <c r="F611" s="11" t="s">
        <v>2071</v>
      </c>
      <c r="G611" s="13"/>
      <c r="H611" s="22">
        <v>0</v>
      </c>
      <c r="I611" s="9">
        <f t="shared" ca="1" si="19"/>
        <v>0.74495017008054676</v>
      </c>
    </row>
    <row r="612" spans="1:9" ht="15.75" customHeight="1" x14ac:dyDescent="0.15">
      <c r="A612" s="10">
        <f t="shared" si="18"/>
        <v>611</v>
      </c>
      <c r="B612" s="11" t="s">
        <v>31</v>
      </c>
      <c r="C612" s="10" t="s">
        <v>27</v>
      </c>
      <c r="D612" s="12" t="s">
        <v>2072</v>
      </c>
      <c r="E612" s="12" t="s">
        <v>2073</v>
      </c>
      <c r="F612" s="12" t="s">
        <v>2074</v>
      </c>
      <c r="G612" s="13"/>
      <c r="H612" s="22">
        <v>0</v>
      </c>
      <c r="I612" s="9">
        <f t="shared" ca="1" si="19"/>
        <v>0.41616988610348993</v>
      </c>
    </row>
    <row r="613" spans="1:9" ht="15.75" hidden="1" customHeight="1" x14ac:dyDescent="0.15">
      <c r="A613" s="10">
        <f t="shared" si="18"/>
        <v>612</v>
      </c>
      <c r="B613" s="12" t="s">
        <v>3253</v>
      </c>
      <c r="C613" s="10" t="s">
        <v>11</v>
      </c>
      <c r="D613" s="12" t="s">
        <v>2075</v>
      </c>
      <c r="E613" s="12" t="s">
        <v>2076</v>
      </c>
      <c r="F613" s="11" t="s">
        <v>2077</v>
      </c>
      <c r="G613" s="13"/>
      <c r="H613" s="22">
        <v>0</v>
      </c>
      <c r="I613" s="9">
        <f t="shared" ca="1" si="19"/>
        <v>0.16431866508428961</v>
      </c>
    </row>
    <row r="614" spans="1:9" ht="15.75" customHeight="1" x14ac:dyDescent="0.15">
      <c r="A614" s="10">
        <f t="shared" si="18"/>
        <v>613</v>
      </c>
      <c r="B614" s="11" t="s">
        <v>36</v>
      </c>
      <c r="C614" s="10" t="s">
        <v>27</v>
      </c>
      <c r="D614" s="12" t="s">
        <v>2078</v>
      </c>
      <c r="E614" s="15">
        <v>300</v>
      </c>
      <c r="F614" s="11" t="s">
        <v>2079</v>
      </c>
      <c r="G614" s="13"/>
      <c r="H614" s="14">
        <v>1</v>
      </c>
      <c r="I614" s="9">
        <f t="shared" ca="1" si="19"/>
        <v>0.88196959907178218</v>
      </c>
    </row>
    <row r="615" spans="1:9" ht="15.75" hidden="1" customHeight="1" x14ac:dyDescent="0.15">
      <c r="A615" s="10">
        <f t="shared" si="18"/>
        <v>614</v>
      </c>
      <c r="B615" s="10" t="s">
        <v>20</v>
      </c>
      <c r="C615" s="10" t="s">
        <v>11</v>
      </c>
      <c r="D615" s="11" t="s">
        <v>2080</v>
      </c>
      <c r="E615" s="11" t="s">
        <v>2081</v>
      </c>
      <c r="F615" s="11" t="s">
        <v>2082</v>
      </c>
      <c r="G615" s="13"/>
      <c r="H615" s="14">
        <v>1</v>
      </c>
      <c r="I615" s="9">
        <f t="shared" ca="1" si="19"/>
        <v>0.57563237303430137</v>
      </c>
    </row>
    <row r="616" spans="1:9" ht="15.75" customHeight="1" x14ac:dyDescent="0.15">
      <c r="A616" s="10">
        <f t="shared" si="18"/>
        <v>615</v>
      </c>
      <c r="B616" s="12" t="s">
        <v>3253</v>
      </c>
      <c r="C616" s="10" t="s">
        <v>27</v>
      </c>
      <c r="D616" s="12" t="s">
        <v>2083</v>
      </c>
      <c r="E616" s="12" t="s">
        <v>2084</v>
      </c>
      <c r="F616" s="12" t="s">
        <v>2085</v>
      </c>
      <c r="G616" s="13"/>
      <c r="H616" s="22">
        <v>0</v>
      </c>
      <c r="I616" s="9">
        <f t="shared" ca="1" si="19"/>
        <v>0.93148386154698859</v>
      </c>
    </row>
    <row r="617" spans="1:9" ht="15.75" hidden="1" customHeight="1" x14ac:dyDescent="0.15">
      <c r="A617" s="10">
        <f t="shared" si="18"/>
        <v>616</v>
      </c>
      <c r="B617" s="11" t="s">
        <v>36</v>
      </c>
      <c r="C617" s="10" t="s">
        <v>11</v>
      </c>
      <c r="D617" s="12" t="s">
        <v>2086</v>
      </c>
      <c r="E617" s="12" t="s">
        <v>2087</v>
      </c>
      <c r="F617" s="11" t="s">
        <v>2088</v>
      </c>
      <c r="G617" s="13"/>
      <c r="H617" s="22">
        <v>0</v>
      </c>
      <c r="I617" s="9">
        <f t="shared" ca="1" si="19"/>
        <v>0.40480116273289124</v>
      </c>
    </row>
    <row r="618" spans="1:9" ht="15.75" hidden="1" customHeight="1" x14ac:dyDescent="0.15">
      <c r="A618" s="10">
        <f t="shared" si="18"/>
        <v>617</v>
      </c>
      <c r="B618" s="11" t="s">
        <v>31</v>
      </c>
      <c r="C618" s="10" t="s">
        <v>11</v>
      </c>
      <c r="D618" s="11" t="s">
        <v>2089</v>
      </c>
      <c r="E618" s="12" t="s">
        <v>2090</v>
      </c>
      <c r="F618" s="11" t="s">
        <v>2091</v>
      </c>
      <c r="G618" s="13"/>
      <c r="H618" s="22">
        <v>0</v>
      </c>
      <c r="I618" s="9">
        <f t="shared" ca="1" si="19"/>
        <v>0.71807553433724736</v>
      </c>
    </row>
    <row r="619" spans="1:9" ht="15.75" hidden="1" customHeight="1" x14ac:dyDescent="0.15">
      <c r="A619" s="10">
        <f t="shared" si="18"/>
        <v>618</v>
      </c>
      <c r="B619" s="11" t="s">
        <v>36</v>
      </c>
      <c r="C619" s="10" t="s">
        <v>16</v>
      </c>
      <c r="D619" s="12" t="s">
        <v>2092</v>
      </c>
      <c r="E619" s="13" t="s">
        <v>106</v>
      </c>
      <c r="F619" s="12" t="s">
        <v>2093</v>
      </c>
      <c r="G619" s="13"/>
      <c r="H619" s="22">
        <v>0</v>
      </c>
      <c r="I619" s="9">
        <f t="shared" ca="1" si="19"/>
        <v>0.40252871668945589</v>
      </c>
    </row>
    <row r="620" spans="1:9" ht="15.75" customHeight="1" x14ac:dyDescent="0.15">
      <c r="A620" s="10">
        <f t="shared" si="18"/>
        <v>619</v>
      </c>
      <c r="B620" s="12" t="s">
        <v>3253</v>
      </c>
      <c r="C620" s="10" t="s">
        <v>27</v>
      </c>
      <c r="D620" s="11" t="s">
        <v>2094</v>
      </c>
      <c r="E620" s="11" t="s">
        <v>2095</v>
      </c>
      <c r="F620" s="11" t="s">
        <v>2096</v>
      </c>
      <c r="G620" s="13"/>
      <c r="H620" s="22">
        <v>0</v>
      </c>
      <c r="I620" s="9">
        <f t="shared" ca="1" si="19"/>
        <v>0.61497357621560123</v>
      </c>
    </row>
    <row r="621" spans="1:9" ht="15.75" hidden="1" customHeight="1" x14ac:dyDescent="0.15">
      <c r="A621" s="10">
        <f t="shared" si="18"/>
        <v>620</v>
      </c>
      <c r="B621" s="11" t="s">
        <v>36</v>
      </c>
      <c r="C621" s="10" t="s">
        <v>11</v>
      </c>
      <c r="D621" s="11" t="s">
        <v>2097</v>
      </c>
      <c r="E621" s="11" t="s">
        <v>2098</v>
      </c>
      <c r="F621" s="11" t="s">
        <v>2099</v>
      </c>
      <c r="G621" s="13"/>
      <c r="H621" s="22">
        <v>0</v>
      </c>
      <c r="I621" s="9">
        <f t="shared" ca="1" si="19"/>
        <v>0.95441427292172398</v>
      </c>
    </row>
    <row r="622" spans="1:9" ht="15.75" customHeight="1" x14ac:dyDescent="0.15">
      <c r="A622" s="10">
        <f t="shared" si="18"/>
        <v>621</v>
      </c>
      <c r="B622" s="11" t="s">
        <v>36</v>
      </c>
      <c r="C622" s="10" t="s">
        <v>27</v>
      </c>
      <c r="D622" s="12" t="s">
        <v>2100</v>
      </c>
      <c r="E622" s="12" t="s">
        <v>2101</v>
      </c>
      <c r="F622" s="12" t="s">
        <v>2102</v>
      </c>
      <c r="G622" s="13"/>
      <c r="H622" s="22">
        <v>0</v>
      </c>
      <c r="I622" s="9">
        <f t="shared" ca="1" si="19"/>
        <v>0.41768196233746935</v>
      </c>
    </row>
    <row r="623" spans="1:9" ht="15.75" hidden="1" customHeight="1" x14ac:dyDescent="0.15">
      <c r="A623" s="10">
        <f t="shared" si="18"/>
        <v>622</v>
      </c>
      <c r="B623" s="10" t="s">
        <v>20</v>
      </c>
      <c r="C623" s="10" t="s">
        <v>11</v>
      </c>
      <c r="D623" s="11" t="s">
        <v>2103</v>
      </c>
      <c r="E623" s="11" t="s">
        <v>2104</v>
      </c>
      <c r="F623" s="11" t="s">
        <v>2105</v>
      </c>
      <c r="G623" s="13"/>
      <c r="H623" s="22">
        <v>0</v>
      </c>
      <c r="I623" s="9">
        <f t="shared" ca="1" si="19"/>
        <v>0.87910133177332261</v>
      </c>
    </row>
    <row r="624" spans="1:9" ht="15.75" hidden="1" customHeight="1" x14ac:dyDescent="0.15">
      <c r="A624" s="10">
        <f t="shared" si="18"/>
        <v>623</v>
      </c>
      <c r="B624" s="11" t="s">
        <v>36</v>
      </c>
      <c r="C624" s="10" t="s">
        <v>16</v>
      </c>
      <c r="D624" s="11" t="s">
        <v>2106</v>
      </c>
      <c r="E624" s="13" t="s">
        <v>127</v>
      </c>
      <c r="F624" s="11" t="s">
        <v>2107</v>
      </c>
      <c r="G624" s="13"/>
      <c r="H624" s="22">
        <v>0</v>
      </c>
      <c r="I624" s="9">
        <f t="shared" ca="1" si="19"/>
        <v>0.23026892682661104</v>
      </c>
    </row>
    <row r="625" spans="1:9" ht="15.75" customHeight="1" x14ac:dyDescent="0.15">
      <c r="A625" s="10">
        <f t="shared" si="18"/>
        <v>624</v>
      </c>
      <c r="B625" s="11" t="s">
        <v>31</v>
      </c>
      <c r="C625" s="10" t="s">
        <v>32</v>
      </c>
      <c r="D625" s="11" t="s">
        <v>2108</v>
      </c>
      <c r="E625" s="12" t="s">
        <v>286</v>
      </c>
      <c r="F625" s="11" t="s">
        <v>2109</v>
      </c>
      <c r="G625" s="13"/>
      <c r="H625" s="22">
        <v>0</v>
      </c>
      <c r="I625" s="9">
        <f t="shared" ca="1" si="19"/>
        <v>6.8251552744128752E-2</v>
      </c>
    </row>
    <row r="626" spans="1:9" ht="15.75" customHeight="1" x14ac:dyDescent="0.15">
      <c r="A626" s="10">
        <f t="shared" si="18"/>
        <v>625</v>
      </c>
      <c r="B626" s="12" t="s">
        <v>3253</v>
      </c>
      <c r="C626" s="10" t="s">
        <v>21</v>
      </c>
      <c r="D626" s="11" t="s">
        <v>2110</v>
      </c>
      <c r="E626" s="13" t="s">
        <v>1361</v>
      </c>
      <c r="F626" s="11" t="s">
        <v>2111</v>
      </c>
      <c r="G626" s="13"/>
      <c r="H626" s="22">
        <v>0</v>
      </c>
      <c r="I626" s="9">
        <f t="shared" ca="1" si="19"/>
        <v>0.69781213505005479</v>
      </c>
    </row>
    <row r="627" spans="1:9" ht="15.75" hidden="1" customHeight="1" x14ac:dyDescent="0.15">
      <c r="A627" s="10">
        <f t="shared" si="18"/>
        <v>626</v>
      </c>
      <c r="B627" s="12" t="s">
        <v>3253</v>
      </c>
      <c r="C627" s="10" t="s">
        <v>16</v>
      </c>
      <c r="D627" s="12" t="s">
        <v>2112</v>
      </c>
      <c r="E627" s="13" t="s">
        <v>98</v>
      </c>
      <c r="F627" s="12" t="s">
        <v>2113</v>
      </c>
      <c r="G627" s="13"/>
      <c r="H627" s="22">
        <v>0</v>
      </c>
      <c r="I627" s="9">
        <f t="shared" ca="1" si="19"/>
        <v>2.7230720902342576E-3</v>
      </c>
    </row>
    <row r="628" spans="1:9" ht="15.75" hidden="1" customHeight="1" x14ac:dyDescent="0.15">
      <c r="A628" s="10">
        <f t="shared" si="18"/>
        <v>627</v>
      </c>
      <c r="B628" s="12" t="s">
        <v>3253</v>
      </c>
      <c r="C628" s="10" t="s">
        <v>16</v>
      </c>
      <c r="D628" s="12" t="s">
        <v>2114</v>
      </c>
      <c r="E628" s="13" t="s">
        <v>159</v>
      </c>
      <c r="F628" s="12" t="s">
        <v>2115</v>
      </c>
      <c r="G628" s="13"/>
      <c r="H628" s="22">
        <v>0</v>
      </c>
      <c r="I628" s="9">
        <f t="shared" ca="1" si="19"/>
        <v>3.3754661213303616E-2</v>
      </c>
    </row>
    <row r="629" spans="1:9" ht="15.75" customHeight="1" x14ac:dyDescent="0.15">
      <c r="A629" s="10">
        <f t="shared" si="18"/>
        <v>628</v>
      </c>
      <c r="B629" s="12" t="s">
        <v>1266</v>
      </c>
      <c r="C629" s="10" t="s">
        <v>32</v>
      </c>
      <c r="D629" s="11" t="s">
        <v>2116</v>
      </c>
      <c r="E629" s="12" t="s">
        <v>174</v>
      </c>
      <c r="F629" s="11" t="s">
        <v>2117</v>
      </c>
      <c r="G629" s="13"/>
      <c r="H629" s="22">
        <v>0</v>
      </c>
      <c r="I629" s="9">
        <f t="shared" ca="1" si="19"/>
        <v>0.539220137144656</v>
      </c>
    </row>
    <row r="630" spans="1:9" ht="15.75" hidden="1" customHeight="1" x14ac:dyDescent="0.15">
      <c r="A630" s="10">
        <f t="shared" si="18"/>
        <v>629</v>
      </c>
      <c r="B630" s="11" t="s">
        <v>36</v>
      </c>
      <c r="C630" s="10" t="s">
        <v>16</v>
      </c>
      <c r="D630" s="12" t="s">
        <v>2118</v>
      </c>
      <c r="E630" s="13" t="s">
        <v>127</v>
      </c>
      <c r="F630" s="12" t="s">
        <v>2119</v>
      </c>
      <c r="G630" s="13"/>
      <c r="H630" s="22">
        <v>0</v>
      </c>
      <c r="I630" s="9">
        <f t="shared" ca="1" si="19"/>
        <v>0.96886412926483678</v>
      </c>
    </row>
    <row r="631" spans="1:9" ht="15.75" customHeight="1" x14ac:dyDescent="0.15">
      <c r="A631" s="10">
        <f t="shared" si="18"/>
        <v>630</v>
      </c>
      <c r="B631" s="11" t="s">
        <v>36</v>
      </c>
      <c r="C631" s="10" t="s">
        <v>32</v>
      </c>
      <c r="D631" s="11" t="s">
        <v>2120</v>
      </c>
      <c r="E631" s="12" t="s">
        <v>174</v>
      </c>
      <c r="F631" s="11" t="s">
        <v>2121</v>
      </c>
      <c r="G631" s="13"/>
      <c r="H631" s="22">
        <v>0</v>
      </c>
      <c r="I631" s="9">
        <f t="shared" ca="1" si="19"/>
        <v>0.59166228374938357</v>
      </c>
    </row>
    <row r="632" spans="1:9" ht="15.75" customHeight="1" x14ac:dyDescent="0.15">
      <c r="A632" s="10">
        <f t="shared" si="18"/>
        <v>631</v>
      </c>
      <c r="B632" s="10" t="s">
        <v>20</v>
      </c>
      <c r="C632" s="10" t="s">
        <v>21</v>
      </c>
      <c r="D632" s="12" t="s">
        <v>2122</v>
      </c>
      <c r="E632" s="13" t="s">
        <v>1361</v>
      </c>
      <c r="F632" s="12" t="s">
        <v>2123</v>
      </c>
      <c r="G632" s="13"/>
      <c r="H632" s="22">
        <v>0</v>
      </c>
      <c r="I632" s="9">
        <f t="shared" ca="1" si="19"/>
        <v>0.91131318027473451</v>
      </c>
    </row>
    <row r="633" spans="1:9" ht="15.75" customHeight="1" x14ac:dyDescent="0.15">
      <c r="A633" s="10">
        <f t="shared" si="18"/>
        <v>632</v>
      </c>
      <c r="B633" s="12" t="s">
        <v>3253</v>
      </c>
      <c r="C633" s="10" t="s">
        <v>32</v>
      </c>
      <c r="D633" s="11" t="s">
        <v>2124</v>
      </c>
      <c r="E633" s="12" t="s">
        <v>286</v>
      </c>
      <c r="F633" s="11" t="s">
        <v>2125</v>
      </c>
      <c r="G633" s="13"/>
      <c r="H633" s="22">
        <v>0</v>
      </c>
      <c r="I633" s="9">
        <f t="shared" ca="1" si="19"/>
        <v>0.21303290734345481</v>
      </c>
    </row>
    <row r="634" spans="1:9" ht="15.75" customHeight="1" x14ac:dyDescent="0.15">
      <c r="A634" s="10">
        <f t="shared" si="18"/>
        <v>633</v>
      </c>
      <c r="B634" s="11" t="s">
        <v>36</v>
      </c>
      <c r="C634" s="10" t="s">
        <v>27</v>
      </c>
      <c r="D634" s="12" t="s">
        <v>2126</v>
      </c>
      <c r="E634" s="12" t="s">
        <v>2127</v>
      </c>
      <c r="F634" s="12" t="s">
        <v>2128</v>
      </c>
      <c r="G634" s="13"/>
      <c r="H634" s="22">
        <v>0</v>
      </c>
      <c r="I634" s="9">
        <f t="shared" ca="1" si="19"/>
        <v>0.41250305832820811</v>
      </c>
    </row>
    <row r="635" spans="1:9" ht="15.75" customHeight="1" x14ac:dyDescent="0.15">
      <c r="A635" s="10">
        <f t="shared" si="18"/>
        <v>634</v>
      </c>
      <c r="B635" s="10" t="s">
        <v>20</v>
      </c>
      <c r="C635" s="10" t="s">
        <v>21</v>
      </c>
      <c r="D635" s="12" t="s">
        <v>2129</v>
      </c>
      <c r="E635" s="13" t="s">
        <v>1361</v>
      </c>
      <c r="F635" s="12" t="s">
        <v>2130</v>
      </c>
      <c r="G635" s="13"/>
      <c r="H635" s="22">
        <v>0</v>
      </c>
      <c r="I635" s="9">
        <f t="shared" ca="1" si="19"/>
        <v>0.31667048435483325</v>
      </c>
    </row>
    <row r="636" spans="1:9" ht="15.75" customHeight="1" x14ac:dyDescent="0.15">
      <c r="A636" s="10">
        <f t="shared" si="18"/>
        <v>635</v>
      </c>
      <c r="B636" s="10" t="s">
        <v>20</v>
      </c>
      <c r="C636" s="10" t="s">
        <v>27</v>
      </c>
      <c r="D636" s="11" t="s">
        <v>2131</v>
      </c>
      <c r="E636" s="15">
        <v>4</v>
      </c>
      <c r="F636" s="11" t="s">
        <v>2132</v>
      </c>
      <c r="G636" s="13"/>
      <c r="H636" s="14">
        <v>1</v>
      </c>
      <c r="I636" s="9">
        <f t="shared" ca="1" si="19"/>
        <v>0.59379246437102196</v>
      </c>
    </row>
    <row r="637" spans="1:9" ht="15.75" customHeight="1" x14ac:dyDescent="0.15">
      <c r="A637" s="10">
        <f t="shared" si="18"/>
        <v>636</v>
      </c>
      <c r="B637" s="10" t="s">
        <v>20</v>
      </c>
      <c r="C637" s="10" t="s">
        <v>32</v>
      </c>
      <c r="D637" s="11" t="s">
        <v>2133</v>
      </c>
      <c r="E637" s="12" t="s">
        <v>286</v>
      </c>
      <c r="F637" s="11" t="s">
        <v>2134</v>
      </c>
      <c r="G637" s="13"/>
      <c r="H637" s="22">
        <v>0</v>
      </c>
      <c r="I637" s="9">
        <f t="shared" ca="1" si="19"/>
        <v>0.36142692557265743</v>
      </c>
    </row>
    <row r="638" spans="1:9" ht="15.75" customHeight="1" x14ac:dyDescent="0.15">
      <c r="A638" s="10">
        <f t="shared" si="18"/>
        <v>637</v>
      </c>
      <c r="B638" s="10" t="s">
        <v>20</v>
      </c>
      <c r="C638" s="10" t="s">
        <v>32</v>
      </c>
      <c r="D638" s="11" t="s">
        <v>2135</v>
      </c>
      <c r="E638" s="12" t="s">
        <v>286</v>
      </c>
      <c r="F638" s="11" t="s">
        <v>2136</v>
      </c>
      <c r="G638" s="13"/>
      <c r="H638" s="22">
        <v>0</v>
      </c>
      <c r="I638" s="9">
        <f t="shared" ca="1" si="19"/>
        <v>0.81709976527153871</v>
      </c>
    </row>
    <row r="639" spans="1:9" ht="15.75" customHeight="1" x14ac:dyDescent="0.15">
      <c r="A639" s="10">
        <f t="shared" si="18"/>
        <v>638</v>
      </c>
      <c r="B639" s="12" t="s">
        <v>3253</v>
      </c>
      <c r="C639" s="10" t="s">
        <v>21</v>
      </c>
      <c r="D639" s="11" t="s">
        <v>2137</v>
      </c>
      <c r="E639" s="13" t="s">
        <v>134</v>
      </c>
      <c r="F639" s="11" t="s">
        <v>2138</v>
      </c>
      <c r="G639" s="13"/>
      <c r="H639" s="22">
        <v>0</v>
      </c>
      <c r="I639" s="9">
        <f t="shared" ca="1" si="19"/>
        <v>0.81900168348925995</v>
      </c>
    </row>
    <row r="640" spans="1:9" ht="15.75" customHeight="1" x14ac:dyDescent="0.15">
      <c r="A640" s="10">
        <f t="shared" si="18"/>
        <v>639</v>
      </c>
      <c r="B640" s="12" t="s">
        <v>3253</v>
      </c>
      <c r="C640" s="10" t="s">
        <v>32</v>
      </c>
      <c r="D640" s="12" t="s">
        <v>2139</v>
      </c>
      <c r="E640" s="12" t="s">
        <v>174</v>
      </c>
      <c r="F640" s="11" t="s">
        <v>2140</v>
      </c>
      <c r="G640" s="13"/>
      <c r="H640" s="22">
        <v>0</v>
      </c>
      <c r="I640" s="9">
        <f t="shared" ca="1" si="19"/>
        <v>0.92547308129632033</v>
      </c>
    </row>
    <row r="641" spans="1:9" ht="15.75" customHeight="1" x14ac:dyDescent="0.15">
      <c r="A641" s="10">
        <f t="shared" si="18"/>
        <v>640</v>
      </c>
      <c r="B641" s="12" t="s">
        <v>1266</v>
      </c>
      <c r="C641" s="10" t="s">
        <v>32</v>
      </c>
      <c r="D641" s="11" t="s">
        <v>2141</v>
      </c>
      <c r="E641" s="12" t="s">
        <v>174</v>
      </c>
      <c r="F641" s="11" t="s">
        <v>2142</v>
      </c>
      <c r="G641" s="13"/>
      <c r="H641" s="22">
        <v>0</v>
      </c>
      <c r="I641" s="9">
        <f t="shared" ca="1" si="19"/>
        <v>0.95048961910412033</v>
      </c>
    </row>
    <row r="642" spans="1:9" ht="15.75" customHeight="1" x14ac:dyDescent="0.15">
      <c r="A642" s="10">
        <f t="shared" si="18"/>
        <v>641</v>
      </c>
      <c r="B642" s="12" t="s">
        <v>3253</v>
      </c>
      <c r="C642" s="10" t="s">
        <v>27</v>
      </c>
      <c r="D642" s="12" t="s">
        <v>2143</v>
      </c>
      <c r="E642" s="12" t="s">
        <v>2144</v>
      </c>
      <c r="F642" s="12" t="s">
        <v>2145</v>
      </c>
      <c r="G642" s="13"/>
      <c r="H642" s="22">
        <v>0</v>
      </c>
      <c r="I642" s="9">
        <f t="shared" ca="1" si="19"/>
        <v>0.96712613258873936</v>
      </c>
    </row>
    <row r="643" spans="1:9" ht="15.75" hidden="1" customHeight="1" x14ac:dyDescent="0.15">
      <c r="A643" s="10">
        <f t="shared" ref="A643:A706" si="20">ROW() - 1</f>
        <v>642</v>
      </c>
      <c r="B643" s="11" t="s">
        <v>36</v>
      </c>
      <c r="C643" s="10" t="s">
        <v>16</v>
      </c>
      <c r="D643" s="11" t="s">
        <v>2146</v>
      </c>
      <c r="E643" s="13" t="s">
        <v>106</v>
      </c>
      <c r="F643" s="12" t="s">
        <v>2147</v>
      </c>
      <c r="G643" s="13"/>
      <c r="H643" s="22">
        <v>0</v>
      </c>
      <c r="I643" s="9">
        <f t="shared" ca="1" si="19"/>
        <v>0.8189646012301951</v>
      </c>
    </row>
    <row r="644" spans="1:9" ht="15.75" customHeight="1" x14ac:dyDescent="0.15">
      <c r="A644" s="10">
        <f t="shared" si="20"/>
        <v>643</v>
      </c>
      <c r="B644" s="12" t="s">
        <v>1266</v>
      </c>
      <c r="C644" s="10" t="s">
        <v>32</v>
      </c>
      <c r="D644" s="11" t="s">
        <v>2148</v>
      </c>
      <c r="E644" s="12" t="s">
        <v>286</v>
      </c>
      <c r="F644" s="11" t="s">
        <v>2149</v>
      </c>
      <c r="G644" s="13"/>
      <c r="H644" s="22">
        <v>0</v>
      </c>
      <c r="I644" s="9">
        <f t="shared" ref="I644:I707" ca="1" si="21">RAND()</f>
        <v>8.2781825133817266E-2</v>
      </c>
    </row>
    <row r="645" spans="1:9" ht="15.75" customHeight="1" x14ac:dyDescent="0.15">
      <c r="A645" s="10">
        <f t="shared" si="20"/>
        <v>644</v>
      </c>
      <c r="B645" s="12" t="s">
        <v>1266</v>
      </c>
      <c r="C645" s="10" t="s">
        <v>27</v>
      </c>
      <c r="D645" s="11" t="s">
        <v>2150</v>
      </c>
      <c r="E645" s="12" t="s">
        <v>2151</v>
      </c>
      <c r="F645" s="12" t="s">
        <v>2152</v>
      </c>
      <c r="G645" s="13"/>
      <c r="H645" s="22">
        <v>0</v>
      </c>
      <c r="I645" s="9">
        <f t="shared" ca="1" si="21"/>
        <v>0.77245392530349521</v>
      </c>
    </row>
    <row r="646" spans="1:9" ht="15.75" customHeight="1" x14ac:dyDescent="0.15">
      <c r="A646" s="10">
        <f t="shared" si="20"/>
        <v>645</v>
      </c>
      <c r="B646" s="10" t="s">
        <v>20</v>
      </c>
      <c r="C646" s="10" t="s">
        <v>32</v>
      </c>
      <c r="D646" s="11" t="s">
        <v>2153</v>
      </c>
      <c r="E646" s="12" t="s">
        <v>174</v>
      </c>
      <c r="F646" s="11" t="s">
        <v>2154</v>
      </c>
      <c r="G646" s="13"/>
      <c r="H646" s="22">
        <v>0</v>
      </c>
      <c r="I646" s="9">
        <f t="shared" ca="1" si="21"/>
        <v>0.2903813479326055</v>
      </c>
    </row>
    <row r="647" spans="1:9" ht="15.75" hidden="1" customHeight="1" x14ac:dyDescent="0.15">
      <c r="A647" s="10">
        <f t="shared" si="20"/>
        <v>646</v>
      </c>
      <c r="B647" s="12" t="s">
        <v>3253</v>
      </c>
      <c r="C647" s="10" t="s">
        <v>16</v>
      </c>
      <c r="D647" s="12" t="s">
        <v>2155</v>
      </c>
      <c r="E647" s="13" t="s">
        <v>98</v>
      </c>
      <c r="F647" s="12" t="s">
        <v>2156</v>
      </c>
      <c r="G647" s="13"/>
      <c r="H647" s="22">
        <v>0</v>
      </c>
      <c r="I647" s="9">
        <f t="shared" ca="1" si="21"/>
        <v>0.80215260632509167</v>
      </c>
    </row>
    <row r="648" spans="1:9" ht="15.75" hidden="1" customHeight="1" x14ac:dyDescent="0.15">
      <c r="A648" s="10">
        <f t="shared" si="20"/>
        <v>647</v>
      </c>
      <c r="B648" s="10" t="s">
        <v>20</v>
      </c>
      <c r="C648" s="10" t="s">
        <v>11</v>
      </c>
      <c r="D648" s="12" t="s">
        <v>2157</v>
      </c>
      <c r="E648" s="12" t="s">
        <v>2158</v>
      </c>
      <c r="F648" s="11" t="s">
        <v>2159</v>
      </c>
      <c r="G648" s="13"/>
      <c r="H648" s="22">
        <v>0</v>
      </c>
      <c r="I648" s="9">
        <f t="shared" ca="1" si="21"/>
        <v>0.12422500735414699</v>
      </c>
    </row>
    <row r="649" spans="1:9" ht="15.75" customHeight="1" x14ac:dyDescent="0.15">
      <c r="A649" s="10">
        <f t="shared" si="20"/>
        <v>648</v>
      </c>
      <c r="B649" s="12" t="s">
        <v>3253</v>
      </c>
      <c r="C649" s="10" t="s">
        <v>32</v>
      </c>
      <c r="D649" s="11" t="s">
        <v>2160</v>
      </c>
      <c r="E649" s="12" t="s">
        <v>286</v>
      </c>
      <c r="F649" s="11" t="s">
        <v>2161</v>
      </c>
      <c r="G649" s="13"/>
      <c r="H649" s="22">
        <v>0</v>
      </c>
      <c r="I649" s="9">
        <f t="shared" ca="1" si="21"/>
        <v>0.4405029255772519</v>
      </c>
    </row>
    <row r="650" spans="1:9" ht="15.75" customHeight="1" x14ac:dyDescent="0.2">
      <c r="A650" s="10">
        <f t="shared" si="20"/>
        <v>649</v>
      </c>
      <c r="B650" s="11" t="s">
        <v>36</v>
      </c>
      <c r="C650" s="10" t="s">
        <v>32</v>
      </c>
      <c r="D650" s="16" t="s">
        <v>2162</v>
      </c>
      <c r="E650" s="12" t="s">
        <v>174</v>
      </c>
      <c r="F650" s="11" t="s">
        <v>2163</v>
      </c>
      <c r="G650" s="13"/>
      <c r="H650" s="22">
        <v>0</v>
      </c>
      <c r="I650" s="9">
        <f t="shared" ca="1" si="21"/>
        <v>0.56361128072650168</v>
      </c>
    </row>
    <row r="651" spans="1:9" ht="15.75" customHeight="1" x14ac:dyDescent="0.15">
      <c r="A651" s="10">
        <f t="shared" si="20"/>
        <v>650</v>
      </c>
      <c r="B651" s="10" t="s">
        <v>20</v>
      </c>
      <c r="C651" s="10" t="s">
        <v>32</v>
      </c>
      <c r="D651" s="11" t="s">
        <v>2164</v>
      </c>
      <c r="E651" s="12" t="s">
        <v>174</v>
      </c>
      <c r="F651" s="11" t="s">
        <v>2165</v>
      </c>
      <c r="G651" s="13"/>
      <c r="H651" s="22">
        <v>0</v>
      </c>
      <c r="I651" s="9">
        <f t="shared" ca="1" si="21"/>
        <v>2.8619338439989872E-2</v>
      </c>
    </row>
    <row r="652" spans="1:9" ht="15.75" customHeight="1" x14ac:dyDescent="0.15">
      <c r="A652" s="10">
        <f t="shared" si="20"/>
        <v>651</v>
      </c>
      <c r="B652" s="11" t="s">
        <v>36</v>
      </c>
      <c r="C652" s="10" t="s">
        <v>32</v>
      </c>
      <c r="D652" s="11" t="s">
        <v>2166</v>
      </c>
      <c r="E652" s="12" t="s">
        <v>174</v>
      </c>
      <c r="F652" s="11" t="s">
        <v>2167</v>
      </c>
      <c r="G652" s="13"/>
      <c r="H652" s="22">
        <v>0</v>
      </c>
      <c r="I652" s="9">
        <f t="shared" ca="1" si="21"/>
        <v>3.3389412069115054E-2</v>
      </c>
    </row>
    <row r="653" spans="1:9" ht="15.75" hidden="1" customHeight="1" x14ac:dyDescent="0.15">
      <c r="A653" s="10">
        <f t="shared" si="20"/>
        <v>652</v>
      </c>
      <c r="B653" s="11" t="s">
        <v>31</v>
      </c>
      <c r="C653" s="10" t="s">
        <v>16</v>
      </c>
      <c r="D653" s="11" t="s">
        <v>2168</v>
      </c>
      <c r="E653" s="13" t="s">
        <v>98</v>
      </c>
      <c r="F653" s="11" t="s">
        <v>2169</v>
      </c>
      <c r="G653" s="13"/>
      <c r="H653" s="22">
        <v>0</v>
      </c>
      <c r="I653" s="9">
        <f t="shared" ca="1" si="21"/>
        <v>0.91429901698087646</v>
      </c>
    </row>
    <row r="654" spans="1:9" ht="15.75" customHeight="1" x14ac:dyDescent="0.15">
      <c r="A654" s="10">
        <f t="shared" si="20"/>
        <v>653</v>
      </c>
      <c r="B654" s="12" t="s">
        <v>3253</v>
      </c>
      <c r="C654" s="10" t="s">
        <v>27</v>
      </c>
      <c r="D654" s="12" t="s">
        <v>2170</v>
      </c>
      <c r="E654" s="15">
        <v>1070</v>
      </c>
      <c r="F654" s="12" t="s">
        <v>2171</v>
      </c>
      <c r="G654" s="13"/>
      <c r="H654" s="14">
        <v>1</v>
      </c>
      <c r="I654" s="9">
        <f t="shared" ca="1" si="21"/>
        <v>0.11402662732246416</v>
      </c>
    </row>
    <row r="655" spans="1:9" ht="15.75" hidden="1" customHeight="1" x14ac:dyDescent="0.15">
      <c r="A655" s="10">
        <f t="shared" si="20"/>
        <v>654</v>
      </c>
      <c r="B655" s="12" t="s">
        <v>3253</v>
      </c>
      <c r="C655" s="10" t="s">
        <v>16</v>
      </c>
      <c r="D655" s="11" t="s">
        <v>2172</v>
      </c>
      <c r="E655" s="13" t="s">
        <v>98</v>
      </c>
      <c r="F655" s="11" t="s">
        <v>2173</v>
      </c>
      <c r="G655" s="13"/>
      <c r="H655" s="22">
        <v>0</v>
      </c>
      <c r="I655" s="9">
        <f t="shared" ca="1" si="21"/>
        <v>0.93532633857870184</v>
      </c>
    </row>
    <row r="656" spans="1:9" ht="15.75" hidden="1" customHeight="1" x14ac:dyDescent="0.15">
      <c r="A656" s="10">
        <f t="shared" si="20"/>
        <v>655</v>
      </c>
      <c r="B656" s="12" t="s">
        <v>1266</v>
      </c>
      <c r="C656" s="10" t="s">
        <v>11</v>
      </c>
      <c r="D656" s="11" t="s">
        <v>2174</v>
      </c>
      <c r="E656" s="12" t="s">
        <v>2175</v>
      </c>
      <c r="F656" s="11" t="s">
        <v>2176</v>
      </c>
      <c r="G656" s="13"/>
      <c r="H656" s="22">
        <v>0</v>
      </c>
      <c r="I656" s="9">
        <f t="shared" ca="1" si="21"/>
        <v>0.46528025208295309</v>
      </c>
    </row>
    <row r="657" spans="1:9" ht="15.75" customHeight="1" x14ac:dyDescent="0.15">
      <c r="A657" s="10">
        <f t="shared" si="20"/>
        <v>656</v>
      </c>
      <c r="B657" s="11" t="s">
        <v>31</v>
      </c>
      <c r="C657" s="10" t="s">
        <v>21</v>
      </c>
      <c r="D657" s="12" t="s">
        <v>2177</v>
      </c>
      <c r="E657" s="13" t="s">
        <v>620</v>
      </c>
      <c r="F657" s="12" t="s">
        <v>2178</v>
      </c>
      <c r="G657" s="13"/>
      <c r="H657" s="22">
        <v>0</v>
      </c>
      <c r="I657" s="9">
        <f t="shared" ca="1" si="21"/>
        <v>0.66063372036731538</v>
      </c>
    </row>
    <row r="658" spans="1:9" ht="15.75" customHeight="1" x14ac:dyDescent="0.15">
      <c r="A658" s="10">
        <f t="shared" si="20"/>
        <v>657</v>
      </c>
      <c r="B658" s="11" t="s">
        <v>36</v>
      </c>
      <c r="C658" s="10" t="s">
        <v>21</v>
      </c>
      <c r="D658" s="11" t="s">
        <v>2179</v>
      </c>
      <c r="E658" s="13" t="s">
        <v>134</v>
      </c>
      <c r="F658" s="12" t="s">
        <v>2180</v>
      </c>
      <c r="G658" s="13"/>
      <c r="H658" s="22">
        <v>0</v>
      </c>
      <c r="I658" s="9">
        <f t="shared" ca="1" si="21"/>
        <v>0.16426993271748536</v>
      </c>
    </row>
    <row r="659" spans="1:9" ht="15.75" customHeight="1" x14ac:dyDescent="0.15">
      <c r="A659" s="10">
        <f t="shared" si="20"/>
        <v>658</v>
      </c>
      <c r="B659" s="10" t="s">
        <v>20</v>
      </c>
      <c r="C659" s="10" t="s">
        <v>32</v>
      </c>
      <c r="D659" s="11" t="s">
        <v>2181</v>
      </c>
      <c r="E659" s="11" t="s">
        <v>286</v>
      </c>
      <c r="F659" s="11" t="s">
        <v>2182</v>
      </c>
      <c r="G659" s="13"/>
      <c r="H659" s="22">
        <v>0</v>
      </c>
      <c r="I659" s="9">
        <f t="shared" ca="1" si="21"/>
        <v>0.62246216427666823</v>
      </c>
    </row>
    <row r="660" spans="1:9" ht="15.75" customHeight="1" x14ac:dyDescent="0.15">
      <c r="A660" s="10">
        <f t="shared" si="20"/>
        <v>659</v>
      </c>
      <c r="B660" s="12" t="s">
        <v>1266</v>
      </c>
      <c r="C660" s="10" t="s">
        <v>32</v>
      </c>
      <c r="D660" s="12" t="s">
        <v>2183</v>
      </c>
      <c r="E660" s="12" t="s">
        <v>174</v>
      </c>
      <c r="F660" s="11" t="s">
        <v>2184</v>
      </c>
      <c r="G660" s="13"/>
      <c r="H660" s="22">
        <v>0</v>
      </c>
      <c r="I660" s="9">
        <f t="shared" ca="1" si="21"/>
        <v>0.68398239337924116</v>
      </c>
    </row>
    <row r="661" spans="1:9" ht="15.75" hidden="1" customHeight="1" x14ac:dyDescent="0.15">
      <c r="A661" s="10">
        <f t="shared" si="20"/>
        <v>660</v>
      </c>
      <c r="B661" s="11" t="s">
        <v>36</v>
      </c>
      <c r="C661" s="10" t="s">
        <v>11</v>
      </c>
      <c r="D661" s="11" t="s">
        <v>2185</v>
      </c>
      <c r="E661" s="12" t="s">
        <v>2186</v>
      </c>
      <c r="F661" s="11" t="s">
        <v>2187</v>
      </c>
      <c r="G661" s="13"/>
      <c r="H661" s="22">
        <v>0</v>
      </c>
      <c r="I661" s="9">
        <f t="shared" ca="1" si="21"/>
        <v>0.58758494848690612</v>
      </c>
    </row>
    <row r="662" spans="1:9" ht="15.75" hidden="1" customHeight="1" x14ac:dyDescent="0.15">
      <c r="A662" s="10">
        <f t="shared" si="20"/>
        <v>661</v>
      </c>
      <c r="B662" s="11" t="s">
        <v>36</v>
      </c>
      <c r="C662" s="10" t="s">
        <v>11</v>
      </c>
      <c r="D662" s="12" t="s">
        <v>2188</v>
      </c>
      <c r="E662" s="12" t="s">
        <v>2189</v>
      </c>
      <c r="F662" s="11" t="s">
        <v>2190</v>
      </c>
      <c r="G662" s="13"/>
      <c r="H662" s="22">
        <v>0</v>
      </c>
      <c r="I662" s="9">
        <f t="shared" ca="1" si="21"/>
        <v>0.17699590429839107</v>
      </c>
    </row>
    <row r="663" spans="1:9" ht="15.75" customHeight="1" x14ac:dyDescent="0.15">
      <c r="A663" s="10">
        <f t="shared" si="20"/>
        <v>662</v>
      </c>
      <c r="B663" s="10" t="s">
        <v>20</v>
      </c>
      <c r="C663" s="10" t="s">
        <v>27</v>
      </c>
      <c r="D663" s="11" t="s">
        <v>2191</v>
      </c>
      <c r="E663" s="15">
        <v>1.06</v>
      </c>
      <c r="F663" s="11" t="s">
        <v>2192</v>
      </c>
      <c r="G663" s="13"/>
      <c r="H663" s="14">
        <v>1</v>
      </c>
      <c r="I663" s="9">
        <f t="shared" ca="1" si="21"/>
        <v>1.5383168634295563E-2</v>
      </c>
    </row>
    <row r="664" spans="1:9" ht="15.75" customHeight="1" x14ac:dyDescent="0.15">
      <c r="A664" s="10">
        <f t="shared" si="20"/>
        <v>663</v>
      </c>
      <c r="B664" s="12" t="s">
        <v>3253</v>
      </c>
      <c r="C664" s="10" t="s">
        <v>21</v>
      </c>
      <c r="D664" s="11" t="s">
        <v>2193</v>
      </c>
      <c r="E664" s="13" t="s">
        <v>241</v>
      </c>
      <c r="F664" s="12" t="s">
        <v>2194</v>
      </c>
      <c r="G664" s="13"/>
      <c r="H664" s="22">
        <v>0</v>
      </c>
      <c r="I664" s="9">
        <f t="shared" ca="1" si="21"/>
        <v>0.90203112459190049</v>
      </c>
    </row>
    <row r="665" spans="1:9" ht="15.75" customHeight="1" x14ac:dyDescent="0.15">
      <c r="A665" s="10">
        <f t="shared" si="20"/>
        <v>664</v>
      </c>
      <c r="B665" s="11" t="s">
        <v>36</v>
      </c>
      <c r="C665" s="10" t="s">
        <v>21</v>
      </c>
      <c r="D665" s="12" t="s">
        <v>2195</v>
      </c>
      <c r="E665" s="13" t="s">
        <v>136</v>
      </c>
      <c r="F665" s="12" t="s">
        <v>2196</v>
      </c>
      <c r="G665" s="13"/>
      <c r="H665" s="22">
        <v>0</v>
      </c>
      <c r="I665" s="9">
        <f t="shared" ca="1" si="21"/>
        <v>0.36550999589041244</v>
      </c>
    </row>
    <row r="666" spans="1:9" ht="15.75" hidden="1" customHeight="1" x14ac:dyDescent="0.15">
      <c r="A666" s="10">
        <f t="shared" si="20"/>
        <v>665</v>
      </c>
      <c r="B666" s="10" t="s">
        <v>20</v>
      </c>
      <c r="C666" s="10" t="s">
        <v>11</v>
      </c>
      <c r="D666" s="12" t="s">
        <v>2197</v>
      </c>
      <c r="E666" s="11" t="s">
        <v>2198</v>
      </c>
      <c r="F666" s="11" t="s">
        <v>2199</v>
      </c>
      <c r="G666" s="13"/>
      <c r="H666" s="22">
        <v>0</v>
      </c>
      <c r="I666" s="9">
        <f t="shared" ca="1" si="21"/>
        <v>0.61882471379336668</v>
      </c>
    </row>
    <row r="667" spans="1:9" ht="15.75" customHeight="1" x14ac:dyDescent="0.15">
      <c r="A667" s="10">
        <f t="shared" si="20"/>
        <v>666</v>
      </c>
      <c r="B667" s="10" t="s">
        <v>20</v>
      </c>
      <c r="C667" s="10" t="s">
        <v>32</v>
      </c>
      <c r="D667" s="11" t="s">
        <v>2200</v>
      </c>
      <c r="E667" s="12" t="s">
        <v>174</v>
      </c>
      <c r="F667" s="11" t="s">
        <v>2201</v>
      </c>
      <c r="G667" s="13"/>
      <c r="H667" s="22">
        <v>0</v>
      </c>
      <c r="I667" s="9">
        <f t="shared" ca="1" si="21"/>
        <v>6.6392332252418473E-2</v>
      </c>
    </row>
    <row r="668" spans="1:9" ht="15.75" hidden="1" customHeight="1" x14ac:dyDescent="0.15">
      <c r="A668" s="10">
        <f t="shared" si="20"/>
        <v>667</v>
      </c>
      <c r="B668" s="11" t="s">
        <v>36</v>
      </c>
      <c r="C668" s="10" t="s">
        <v>16</v>
      </c>
      <c r="D668" s="12" t="s">
        <v>2202</v>
      </c>
      <c r="E668" s="13" t="s">
        <v>127</v>
      </c>
      <c r="F668" s="12" t="s">
        <v>2203</v>
      </c>
      <c r="G668" s="13"/>
      <c r="H668" s="22">
        <v>0</v>
      </c>
      <c r="I668" s="9">
        <f t="shared" ca="1" si="21"/>
        <v>1.1715278951061947E-2</v>
      </c>
    </row>
    <row r="669" spans="1:9" ht="15.75" customHeight="1" x14ac:dyDescent="0.15">
      <c r="A669" s="10">
        <f t="shared" si="20"/>
        <v>668</v>
      </c>
      <c r="B669" s="10" t="s">
        <v>20</v>
      </c>
      <c r="C669" s="10" t="s">
        <v>32</v>
      </c>
      <c r="D669" s="11" t="s">
        <v>2204</v>
      </c>
      <c r="E669" s="12" t="s">
        <v>174</v>
      </c>
      <c r="F669" s="11" t="s">
        <v>2205</v>
      </c>
      <c r="G669" s="13"/>
      <c r="H669" s="22">
        <v>0</v>
      </c>
      <c r="I669" s="9">
        <f t="shared" ca="1" si="21"/>
        <v>0.47637291369777046</v>
      </c>
    </row>
    <row r="670" spans="1:9" ht="15.75" hidden="1" customHeight="1" x14ac:dyDescent="0.15">
      <c r="A670" s="10">
        <f t="shared" si="20"/>
        <v>669</v>
      </c>
      <c r="B670" s="11" t="s">
        <v>31</v>
      </c>
      <c r="C670" s="10" t="s">
        <v>16</v>
      </c>
      <c r="D670" s="11" t="s">
        <v>2206</v>
      </c>
      <c r="E670" s="13" t="s">
        <v>98</v>
      </c>
      <c r="F670" s="11" t="s">
        <v>2207</v>
      </c>
      <c r="G670" s="13"/>
      <c r="H670" s="22">
        <v>0</v>
      </c>
      <c r="I670" s="9">
        <f t="shared" ca="1" si="21"/>
        <v>0.961913493645002</v>
      </c>
    </row>
    <row r="671" spans="1:9" ht="15.75" hidden="1" customHeight="1" x14ac:dyDescent="0.15">
      <c r="A671" s="10">
        <f t="shared" si="20"/>
        <v>670</v>
      </c>
      <c r="B671" s="10" t="s">
        <v>20</v>
      </c>
      <c r="C671" s="10" t="s">
        <v>16</v>
      </c>
      <c r="D671" s="12" t="s">
        <v>2208</v>
      </c>
      <c r="E671" s="13" t="s">
        <v>106</v>
      </c>
      <c r="F671" s="12" t="s">
        <v>2209</v>
      </c>
      <c r="G671" s="13"/>
      <c r="H671" s="22">
        <v>0</v>
      </c>
      <c r="I671" s="9">
        <f t="shared" ca="1" si="21"/>
        <v>0.805287922720894</v>
      </c>
    </row>
    <row r="672" spans="1:9" ht="15.75" customHeight="1" x14ac:dyDescent="0.15">
      <c r="A672" s="10">
        <f t="shared" si="20"/>
        <v>671</v>
      </c>
      <c r="B672" s="12" t="s">
        <v>3253</v>
      </c>
      <c r="C672" s="10" t="s">
        <v>27</v>
      </c>
      <c r="D672" s="12" t="s">
        <v>2210</v>
      </c>
      <c r="E672" s="12" t="s">
        <v>2211</v>
      </c>
      <c r="F672" s="12" t="s">
        <v>2212</v>
      </c>
      <c r="G672" s="13"/>
      <c r="H672" s="22">
        <v>0</v>
      </c>
      <c r="I672" s="9">
        <f t="shared" ca="1" si="21"/>
        <v>9.3325559351401521E-3</v>
      </c>
    </row>
    <row r="673" spans="1:9" ht="15.75" customHeight="1" x14ac:dyDescent="0.15">
      <c r="A673" s="10">
        <f t="shared" si="20"/>
        <v>672</v>
      </c>
      <c r="B673" s="12" t="s">
        <v>3253</v>
      </c>
      <c r="C673" s="10" t="s">
        <v>32</v>
      </c>
      <c r="D673" s="12" t="s">
        <v>2213</v>
      </c>
      <c r="E673" s="12" t="s">
        <v>174</v>
      </c>
      <c r="F673" s="11" t="s">
        <v>2214</v>
      </c>
      <c r="G673" s="13"/>
      <c r="H673" s="22">
        <v>0</v>
      </c>
      <c r="I673" s="9">
        <f t="shared" ca="1" si="21"/>
        <v>6.8510229366902542E-2</v>
      </c>
    </row>
    <row r="674" spans="1:9" ht="15.75" customHeight="1" x14ac:dyDescent="0.15">
      <c r="A674" s="10">
        <f t="shared" si="20"/>
        <v>673</v>
      </c>
      <c r="B674" s="10" t="s">
        <v>20</v>
      </c>
      <c r="C674" s="10" t="s">
        <v>27</v>
      </c>
      <c r="D674" s="11" t="s">
        <v>2215</v>
      </c>
      <c r="E674" s="11" t="s">
        <v>2216</v>
      </c>
      <c r="F674" s="11" t="s">
        <v>2217</v>
      </c>
      <c r="G674" s="13"/>
      <c r="H674" s="22">
        <v>0</v>
      </c>
      <c r="I674" s="9">
        <f t="shared" ca="1" si="21"/>
        <v>0.81731495943364474</v>
      </c>
    </row>
    <row r="675" spans="1:9" ht="15.75" customHeight="1" x14ac:dyDescent="0.15">
      <c r="A675" s="10">
        <f t="shared" si="20"/>
        <v>674</v>
      </c>
      <c r="B675" s="11" t="s">
        <v>31</v>
      </c>
      <c r="C675" s="10" t="s">
        <v>21</v>
      </c>
      <c r="D675" s="12" t="s">
        <v>2218</v>
      </c>
      <c r="E675" s="13" t="s">
        <v>1187</v>
      </c>
      <c r="F675" s="12" t="s">
        <v>2219</v>
      </c>
      <c r="G675" s="13"/>
      <c r="H675" s="22">
        <v>0</v>
      </c>
      <c r="I675" s="9">
        <f t="shared" ca="1" si="21"/>
        <v>0.54575415057118604</v>
      </c>
    </row>
    <row r="676" spans="1:9" ht="15.75" hidden="1" customHeight="1" x14ac:dyDescent="0.15">
      <c r="A676" s="10">
        <f t="shared" si="20"/>
        <v>675</v>
      </c>
      <c r="B676" s="12" t="s">
        <v>1266</v>
      </c>
      <c r="C676" s="10" t="s">
        <v>16</v>
      </c>
      <c r="D676" s="11" t="s">
        <v>2220</v>
      </c>
      <c r="E676" s="13" t="s">
        <v>98</v>
      </c>
      <c r="F676" s="11" t="s">
        <v>2221</v>
      </c>
      <c r="G676" s="13"/>
      <c r="H676" s="22">
        <v>0</v>
      </c>
      <c r="I676" s="9">
        <f t="shared" ca="1" si="21"/>
        <v>0.33024648642358223</v>
      </c>
    </row>
    <row r="677" spans="1:9" ht="15.75" hidden="1" customHeight="1" x14ac:dyDescent="0.15">
      <c r="A677" s="10">
        <f t="shared" si="20"/>
        <v>676</v>
      </c>
      <c r="B677" s="12" t="s">
        <v>3253</v>
      </c>
      <c r="C677" s="10" t="s">
        <v>11</v>
      </c>
      <c r="D677" s="12" t="s">
        <v>2222</v>
      </c>
      <c r="E677" s="12" t="s">
        <v>2223</v>
      </c>
      <c r="F677" s="11" t="s">
        <v>2224</v>
      </c>
      <c r="G677" s="13"/>
      <c r="H677" s="22">
        <v>0</v>
      </c>
      <c r="I677" s="9">
        <f t="shared" ca="1" si="21"/>
        <v>0.76072940248331111</v>
      </c>
    </row>
    <row r="678" spans="1:9" ht="15.75" hidden="1" customHeight="1" x14ac:dyDescent="0.15">
      <c r="A678" s="10">
        <f t="shared" si="20"/>
        <v>677</v>
      </c>
      <c r="B678" s="10" t="s">
        <v>20</v>
      </c>
      <c r="C678" s="10" t="s">
        <v>11</v>
      </c>
      <c r="D678" s="12" t="s">
        <v>2225</v>
      </c>
      <c r="E678" s="12" t="s">
        <v>2226</v>
      </c>
      <c r="F678" s="11" t="s">
        <v>2227</v>
      </c>
      <c r="G678" s="13"/>
      <c r="H678" s="22">
        <v>0</v>
      </c>
      <c r="I678" s="9">
        <f t="shared" ca="1" si="21"/>
        <v>0.63053947752702921</v>
      </c>
    </row>
    <row r="679" spans="1:9" ht="15.75" hidden="1" customHeight="1" x14ac:dyDescent="0.15">
      <c r="A679" s="10">
        <f t="shared" si="20"/>
        <v>678</v>
      </c>
      <c r="B679" s="11" t="s">
        <v>36</v>
      </c>
      <c r="C679" s="10" t="s">
        <v>16</v>
      </c>
      <c r="D679" s="12" t="s">
        <v>2228</v>
      </c>
      <c r="E679" s="13" t="s">
        <v>106</v>
      </c>
      <c r="F679" s="12" t="s">
        <v>2229</v>
      </c>
      <c r="G679" s="13"/>
      <c r="H679" s="14">
        <v>1</v>
      </c>
      <c r="I679" s="9">
        <f t="shared" ca="1" si="21"/>
        <v>0.94603610148799622</v>
      </c>
    </row>
    <row r="680" spans="1:9" ht="15.75" hidden="1" customHeight="1" x14ac:dyDescent="0.15">
      <c r="A680" s="10">
        <f t="shared" si="20"/>
        <v>679</v>
      </c>
      <c r="B680" s="10" t="s">
        <v>20</v>
      </c>
      <c r="C680" s="10" t="s">
        <v>16</v>
      </c>
      <c r="D680" s="12" t="s">
        <v>2230</v>
      </c>
      <c r="E680" s="13" t="s">
        <v>98</v>
      </c>
      <c r="F680" s="12" t="s">
        <v>2231</v>
      </c>
      <c r="G680" s="13"/>
      <c r="H680" s="14">
        <v>1</v>
      </c>
      <c r="I680" s="9">
        <f t="shared" ca="1" si="21"/>
        <v>0.76376145414559415</v>
      </c>
    </row>
    <row r="681" spans="1:9" ht="15.75" hidden="1" customHeight="1" x14ac:dyDescent="0.15">
      <c r="A681" s="10">
        <f t="shared" si="20"/>
        <v>680</v>
      </c>
      <c r="B681" s="11" t="s">
        <v>36</v>
      </c>
      <c r="C681" s="10" t="s">
        <v>11</v>
      </c>
      <c r="D681" s="11" t="s">
        <v>2232</v>
      </c>
      <c r="E681" s="11" t="s">
        <v>2233</v>
      </c>
      <c r="F681" s="11" t="s">
        <v>2234</v>
      </c>
      <c r="G681" s="13"/>
      <c r="H681" s="22">
        <v>0</v>
      </c>
      <c r="I681" s="9">
        <f t="shared" ca="1" si="21"/>
        <v>1.0376535791045693E-2</v>
      </c>
    </row>
    <row r="682" spans="1:9" ht="15.75" customHeight="1" x14ac:dyDescent="0.15">
      <c r="A682" s="10">
        <f t="shared" si="20"/>
        <v>681</v>
      </c>
      <c r="B682" s="10" t="s">
        <v>20</v>
      </c>
      <c r="C682" s="10" t="s">
        <v>27</v>
      </c>
      <c r="D682" s="11" t="s">
        <v>2235</v>
      </c>
      <c r="E682" s="15">
        <v>56</v>
      </c>
      <c r="F682" s="11" t="s">
        <v>2236</v>
      </c>
      <c r="G682" s="13"/>
      <c r="H682" s="14">
        <v>1</v>
      </c>
      <c r="I682" s="9">
        <f t="shared" ca="1" si="21"/>
        <v>0.73489841436943948</v>
      </c>
    </row>
    <row r="683" spans="1:9" ht="15.75" hidden="1" customHeight="1" x14ac:dyDescent="0.15">
      <c r="A683" s="10">
        <f t="shared" si="20"/>
        <v>682</v>
      </c>
      <c r="B683" s="11" t="s">
        <v>36</v>
      </c>
      <c r="C683" s="10" t="s">
        <v>16</v>
      </c>
      <c r="D683" s="11" t="s">
        <v>2237</v>
      </c>
      <c r="E683" s="13" t="s">
        <v>127</v>
      </c>
      <c r="F683" s="12" t="s">
        <v>2238</v>
      </c>
      <c r="G683" s="13"/>
      <c r="H683" s="14">
        <v>1</v>
      </c>
      <c r="I683" s="9">
        <f t="shared" ca="1" si="21"/>
        <v>0.93404748353310174</v>
      </c>
    </row>
    <row r="684" spans="1:9" ht="15.75" customHeight="1" x14ac:dyDescent="0.15">
      <c r="A684" s="10">
        <f t="shared" si="20"/>
        <v>683</v>
      </c>
      <c r="B684" s="11" t="s">
        <v>31</v>
      </c>
      <c r="C684" s="10" t="s">
        <v>27</v>
      </c>
      <c r="D684" s="11" t="s">
        <v>2239</v>
      </c>
      <c r="E684" s="11" t="s">
        <v>2240</v>
      </c>
      <c r="F684" s="11" t="s">
        <v>2241</v>
      </c>
      <c r="G684" s="13"/>
      <c r="H684" s="22">
        <v>0</v>
      </c>
      <c r="I684" s="9">
        <f t="shared" ca="1" si="21"/>
        <v>0.64079979242347784</v>
      </c>
    </row>
    <row r="685" spans="1:9" ht="15.75" customHeight="1" x14ac:dyDescent="0.15">
      <c r="A685" s="10">
        <f t="shared" si="20"/>
        <v>684</v>
      </c>
      <c r="B685" s="11" t="s">
        <v>36</v>
      </c>
      <c r="C685" s="10" t="s">
        <v>27</v>
      </c>
      <c r="D685" s="11" t="s">
        <v>2242</v>
      </c>
      <c r="E685" s="15">
        <v>441</v>
      </c>
      <c r="F685" s="11" t="s">
        <v>2243</v>
      </c>
      <c r="G685" s="13"/>
      <c r="H685" s="14">
        <v>1</v>
      </c>
      <c r="I685" s="9">
        <f t="shared" ca="1" si="21"/>
        <v>0.18697275661170232</v>
      </c>
    </row>
    <row r="686" spans="1:9" ht="15.75" customHeight="1" x14ac:dyDescent="0.15">
      <c r="A686" s="10">
        <f t="shared" si="20"/>
        <v>685</v>
      </c>
      <c r="B686" s="12" t="s">
        <v>1266</v>
      </c>
      <c r="C686" s="10" t="s">
        <v>21</v>
      </c>
      <c r="D686" s="12" t="s">
        <v>2244</v>
      </c>
      <c r="E686" s="13" t="s">
        <v>1187</v>
      </c>
      <c r="F686" s="12" t="s">
        <v>2245</v>
      </c>
      <c r="G686" s="13"/>
      <c r="H686" s="22">
        <v>0</v>
      </c>
      <c r="I686" s="9">
        <f t="shared" ca="1" si="21"/>
        <v>0.19599967526243955</v>
      </c>
    </row>
    <row r="687" spans="1:9" ht="15.75" hidden="1" customHeight="1" x14ac:dyDescent="0.15">
      <c r="A687" s="10">
        <f t="shared" si="20"/>
        <v>686</v>
      </c>
      <c r="B687" s="12" t="s">
        <v>20</v>
      </c>
      <c r="C687" s="10" t="s">
        <v>16</v>
      </c>
      <c r="D687" s="12" t="s">
        <v>2246</v>
      </c>
      <c r="E687" s="13" t="s">
        <v>159</v>
      </c>
      <c r="F687" s="12" t="s">
        <v>2247</v>
      </c>
      <c r="G687" s="13"/>
      <c r="H687" s="14">
        <v>1</v>
      </c>
      <c r="I687" s="9">
        <f t="shared" ca="1" si="21"/>
        <v>0.14010240650723005</v>
      </c>
    </row>
    <row r="688" spans="1:9" ht="15.75" customHeight="1" x14ac:dyDescent="0.15">
      <c r="A688" s="10">
        <f t="shared" si="20"/>
        <v>687</v>
      </c>
      <c r="B688" s="12" t="s">
        <v>1266</v>
      </c>
      <c r="C688" s="10" t="s">
        <v>32</v>
      </c>
      <c r="D688" s="11" t="s">
        <v>2248</v>
      </c>
      <c r="E688" s="12" t="s">
        <v>174</v>
      </c>
      <c r="F688" s="11" t="s">
        <v>2249</v>
      </c>
      <c r="G688" s="13"/>
      <c r="H688" s="22">
        <v>0</v>
      </c>
      <c r="I688" s="9">
        <f t="shared" ca="1" si="21"/>
        <v>8.7704062247940806E-3</v>
      </c>
    </row>
    <row r="689" spans="1:9" ht="15.75" hidden="1" customHeight="1" x14ac:dyDescent="0.15">
      <c r="A689" s="10">
        <f t="shared" si="20"/>
        <v>688</v>
      </c>
      <c r="B689" s="12" t="s">
        <v>1266</v>
      </c>
      <c r="C689" s="10" t="s">
        <v>16</v>
      </c>
      <c r="D689" s="11" t="s">
        <v>2250</v>
      </c>
      <c r="E689" s="13" t="s">
        <v>106</v>
      </c>
      <c r="F689" s="11" t="s">
        <v>2251</v>
      </c>
      <c r="G689" s="13"/>
      <c r="H689" s="22">
        <v>0</v>
      </c>
      <c r="I689" s="9">
        <f t="shared" ca="1" si="21"/>
        <v>0.16179434521793978</v>
      </c>
    </row>
    <row r="690" spans="1:9" ht="15.75" customHeight="1" x14ac:dyDescent="0.15">
      <c r="A690" s="10">
        <f t="shared" si="20"/>
        <v>689</v>
      </c>
      <c r="B690" s="11" t="s">
        <v>36</v>
      </c>
      <c r="C690" s="10" t="s">
        <v>27</v>
      </c>
      <c r="D690" s="12" t="s">
        <v>2252</v>
      </c>
      <c r="E690" s="12" t="s">
        <v>2253</v>
      </c>
      <c r="F690" s="12" t="s">
        <v>2254</v>
      </c>
      <c r="G690" s="13"/>
      <c r="H690" s="22">
        <v>0</v>
      </c>
      <c r="I690" s="9">
        <f t="shared" ca="1" si="21"/>
        <v>0.66552807855362572</v>
      </c>
    </row>
    <row r="691" spans="1:9" ht="15.75" customHeight="1" x14ac:dyDescent="0.15">
      <c r="A691" s="10">
        <f t="shared" si="20"/>
        <v>690</v>
      </c>
      <c r="B691" s="12" t="s">
        <v>3253</v>
      </c>
      <c r="C691" s="10" t="s">
        <v>27</v>
      </c>
      <c r="D691" s="11" t="s">
        <v>2255</v>
      </c>
      <c r="E691" s="11" t="s">
        <v>2256</v>
      </c>
      <c r="F691" s="11" t="s">
        <v>2257</v>
      </c>
      <c r="G691" s="13"/>
      <c r="H691" s="22">
        <v>0</v>
      </c>
      <c r="I691" s="9">
        <f t="shared" ca="1" si="21"/>
        <v>0.17772468462281799</v>
      </c>
    </row>
    <row r="692" spans="1:9" ht="15.75" customHeight="1" x14ac:dyDescent="0.15">
      <c r="A692" s="10">
        <f t="shared" si="20"/>
        <v>691</v>
      </c>
      <c r="B692" s="10" t="s">
        <v>20</v>
      </c>
      <c r="C692" s="10" t="s">
        <v>21</v>
      </c>
      <c r="D692" s="12" t="s">
        <v>2258</v>
      </c>
      <c r="E692" s="13" t="s">
        <v>132</v>
      </c>
      <c r="F692" s="12" t="s">
        <v>2259</v>
      </c>
      <c r="G692" s="13"/>
      <c r="H692" s="22">
        <v>0</v>
      </c>
      <c r="I692" s="9">
        <f t="shared" ca="1" si="21"/>
        <v>0.27281402848506231</v>
      </c>
    </row>
    <row r="693" spans="1:9" ht="15.75" customHeight="1" x14ac:dyDescent="0.15">
      <c r="A693" s="10">
        <f t="shared" si="20"/>
        <v>692</v>
      </c>
      <c r="B693" s="12" t="s">
        <v>3253</v>
      </c>
      <c r="C693" s="10" t="s">
        <v>32</v>
      </c>
      <c r="D693" s="11" t="s">
        <v>2260</v>
      </c>
      <c r="E693" s="12" t="s">
        <v>174</v>
      </c>
      <c r="F693" s="11" t="s">
        <v>2261</v>
      </c>
      <c r="G693" s="13"/>
      <c r="H693" s="22">
        <v>0</v>
      </c>
      <c r="I693" s="9">
        <f t="shared" ca="1" si="21"/>
        <v>0.19100009773886373</v>
      </c>
    </row>
    <row r="694" spans="1:9" ht="15.75" hidden="1" customHeight="1" x14ac:dyDescent="0.15">
      <c r="A694" s="10">
        <f t="shared" si="20"/>
        <v>693</v>
      </c>
      <c r="B694" s="11" t="s">
        <v>36</v>
      </c>
      <c r="C694" s="10" t="s">
        <v>11</v>
      </c>
      <c r="D694" s="12" t="s">
        <v>2262</v>
      </c>
      <c r="E694" s="11" t="s">
        <v>2263</v>
      </c>
      <c r="F694" s="11" t="s">
        <v>2264</v>
      </c>
      <c r="G694" s="13"/>
      <c r="H694" s="22">
        <v>0</v>
      </c>
      <c r="I694" s="9">
        <f t="shared" ca="1" si="21"/>
        <v>7.8384698161163779E-2</v>
      </c>
    </row>
    <row r="695" spans="1:9" ht="15.75" hidden="1" customHeight="1" x14ac:dyDescent="0.15">
      <c r="A695" s="10">
        <f t="shared" si="20"/>
        <v>694</v>
      </c>
      <c r="B695" s="12" t="s">
        <v>20</v>
      </c>
      <c r="C695" s="10" t="s">
        <v>16</v>
      </c>
      <c r="D695" s="11" t="s">
        <v>2265</v>
      </c>
      <c r="E695" s="13" t="s">
        <v>127</v>
      </c>
      <c r="F695" s="11" t="s">
        <v>2266</v>
      </c>
      <c r="G695" s="13"/>
      <c r="H695" s="22">
        <v>0</v>
      </c>
      <c r="I695" s="9">
        <f t="shared" ca="1" si="21"/>
        <v>0.79842230199797803</v>
      </c>
    </row>
    <row r="696" spans="1:9" ht="15.75" hidden="1" customHeight="1" x14ac:dyDescent="0.15">
      <c r="A696" s="10">
        <f t="shared" si="20"/>
        <v>695</v>
      </c>
      <c r="B696" s="11" t="s">
        <v>31</v>
      </c>
      <c r="C696" s="10" t="s">
        <v>11</v>
      </c>
      <c r="D696" s="12" t="s">
        <v>2267</v>
      </c>
      <c r="E696" s="12" t="s">
        <v>2268</v>
      </c>
      <c r="F696" s="11" t="s">
        <v>2269</v>
      </c>
      <c r="G696" s="13"/>
      <c r="H696" s="22">
        <v>0</v>
      </c>
      <c r="I696" s="9">
        <f t="shared" ca="1" si="21"/>
        <v>0.83110019285546022</v>
      </c>
    </row>
    <row r="697" spans="1:9" ht="15.75" customHeight="1" x14ac:dyDescent="0.15">
      <c r="A697" s="10">
        <f t="shared" si="20"/>
        <v>696</v>
      </c>
      <c r="B697" s="12" t="s">
        <v>3253</v>
      </c>
      <c r="C697" s="10" t="s">
        <v>32</v>
      </c>
      <c r="D697" s="12" t="s">
        <v>2270</v>
      </c>
      <c r="E697" s="12" t="s">
        <v>286</v>
      </c>
      <c r="F697" s="11" t="s">
        <v>2271</v>
      </c>
      <c r="G697" s="13"/>
      <c r="H697" s="22">
        <v>0</v>
      </c>
      <c r="I697" s="9">
        <f t="shared" ca="1" si="21"/>
        <v>0.15734079422124347</v>
      </c>
    </row>
    <row r="698" spans="1:9" ht="15.75" customHeight="1" x14ac:dyDescent="0.15">
      <c r="A698" s="10">
        <f t="shared" si="20"/>
        <v>697</v>
      </c>
      <c r="B698" s="12" t="s">
        <v>3253</v>
      </c>
      <c r="C698" s="10" t="s">
        <v>21</v>
      </c>
      <c r="D698" s="11" t="s">
        <v>2272</v>
      </c>
      <c r="E698" s="13" t="s">
        <v>129</v>
      </c>
      <c r="F698" s="12" t="s">
        <v>2273</v>
      </c>
      <c r="G698" s="13"/>
      <c r="H698" s="22">
        <v>0</v>
      </c>
      <c r="I698" s="9">
        <f t="shared" ca="1" si="21"/>
        <v>0.6657065848167979</v>
      </c>
    </row>
    <row r="699" spans="1:9" ht="15.75" customHeight="1" x14ac:dyDescent="0.15">
      <c r="A699" s="10">
        <f t="shared" si="20"/>
        <v>698</v>
      </c>
      <c r="B699" s="11" t="s">
        <v>36</v>
      </c>
      <c r="C699" s="10" t="s">
        <v>21</v>
      </c>
      <c r="D699" s="12" t="s">
        <v>2274</v>
      </c>
      <c r="E699" s="13" t="s">
        <v>136</v>
      </c>
      <c r="F699" s="12" t="s">
        <v>2275</v>
      </c>
      <c r="G699" s="13"/>
      <c r="H699" s="22">
        <v>0</v>
      </c>
      <c r="I699" s="9">
        <f t="shared" ca="1" si="21"/>
        <v>0.93534712802027353</v>
      </c>
    </row>
    <row r="700" spans="1:9" ht="15.75" customHeight="1" x14ac:dyDescent="0.15">
      <c r="A700" s="10">
        <f t="shared" si="20"/>
        <v>699</v>
      </c>
      <c r="B700" s="11" t="s">
        <v>36</v>
      </c>
      <c r="C700" s="10" t="s">
        <v>32</v>
      </c>
      <c r="D700" s="11" t="s">
        <v>2276</v>
      </c>
      <c r="E700" s="12" t="s">
        <v>174</v>
      </c>
      <c r="F700" s="11" t="s">
        <v>2277</v>
      </c>
      <c r="G700" s="13"/>
      <c r="H700" s="22">
        <v>0</v>
      </c>
      <c r="I700" s="9">
        <f t="shared" ca="1" si="21"/>
        <v>0.26182441473975548</v>
      </c>
    </row>
    <row r="701" spans="1:9" ht="15.75" hidden="1" customHeight="1" x14ac:dyDescent="0.15">
      <c r="A701" s="10">
        <f t="shared" si="20"/>
        <v>700</v>
      </c>
      <c r="B701" s="12" t="s">
        <v>3253</v>
      </c>
      <c r="C701" s="10" t="s">
        <v>16</v>
      </c>
      <c r="D701" s="11" t="s">
        <v>2278</v>
      </c>
      <c r="E701" s="13" t="s">
        <v>98</v>
      </c>
      <c r="F701" s="11" t="s">
        <v>2279</v>
      </c>
      <c r="G701" s="13"/>
      <c r="H701" s="14">
        <v>1</v>
      </c>
      <c r="I701" s="9">
        <f t="shared" ca="1" si="21"/>
        <v>0.12288432772795133</v>
      </c>
    </row>
    <row r="702" spans="1:9" ht="15.75" customHeight="1" x14ac:dyDescent="0.15">
      <c r="A702" s="10">
        <f t="shared" si="20"/>
        <v>701</v>
      </c>
      <c r="B702" s="11" t="s">
        <v>36</v>
      </c>
      <c r="C702" s="10" t="s">
        <v>21</v>
      </c>
      <c r="D702" s="12" t="s">
        <v>2280</v>
      </c>
      <c r="E702" s="13" t="s">
        <v>601</v>
      </c>
      <c r="F702" s="12" t="s">
        <v>2281</v>
      </c>
      <c r="G702" s="13"/>
      <c r="H702" s="22">
        <v>0</v>
      </c>
      <c r="I702" s="9">
        <f t="shared" ca="1" si="21"/>
        <v>0.94509118210052412</v>
      </c>
    </row>
    <row r="703" spans="1:9" ht="15.75" customHeight="1" x14ac:dyDescent="0.15">
      <c r="A703" s="10">
        <f t="shared" si="20"/>
        <v>702</v>
      </c>
      <c r="B703" s="11" t="s">
        <v>36</v>
      </c>
      <c r="C703" s="10" t="s">
        <v>27</v>
      </c>
      <c r="D703" s="12" t="s">
        <v>2282</v>
      </c>
      <c r="E703" s="12" t="s">
        <v>2283</v>
      </c>
      <c r="F703" s="12" t="s">
        <v>2284</v>
      </c>
      <c r="G703" s="13"/>
      <c r="H703" s="22">
        <v>0</v>
      </c>
      <c r="I703" s="9">
        <f t="shared" ca="1" si="21"/>
        <v>0.2340587281769283</v>
      </c>
    </row>
    <row r="704" spans="1:9" ht="15.75" customHeight="1" x14ac:dyDescent="0.15">
      <c r="A704" s="10">
        <f t="shared" si="20"/>
        <v>703</v>
      </c>
      <c r="B704" s="12" t="s">
        <v>1266</v>
      </c>
      <c r="C704" s="10" t="s">
        <v>32</v>
      </c>
      <c r="D704" s="11" t="s">
        <v>2285</v>
      </c>
      <c r="E704" s="12" t="s">
        <v>174</v>
      </c>
      <c r="F704" s="11" t="s">
        <v>2286</v>
      </c>
      <c r="G704" s="13"/>
      <c r="H704" s="22">
        <v>0</v>
      </c>
      <c r="I704" s="9">
        <f t="shared" ca="1" si="21"/>
        <v>0.78709206418975397</v>
      </c>
    </row>
    <row r="705" spans="1:9" ht="15.75" customHeight="1" x14ac:dyDescent="0.15">
      <c r="A705" s="10">
        <f t="shared" si="20"/>
        <v>704</v>
      </c>
      <c r="B705" s="11" t="s">
        <v>31</v>
      </c>
      <c r="C705" s="10" t="s">
        <v>27</v>
      </c>
      <c r="D705" s="12" t="s">
        <v>2287</v>
      </c>
      <c r="E705" s="12" t="s">
        <v>2288</v>
      </c>
      <c r="F705" s="12" t="s">
        <v>2289</v>
      </c>
      <c r="G705" s="13"/>
      <c r="H705" s="22">
        <v>0</v>
      </c>
      <c r="I705" s="9">
        <f t="shared" ca="1" si="21"/>
        <v>0.53643586728132919</v>
      </c>
    </row>
    <row r="706" spans="1:9" ht="15.75" hidden="1" customHeight="1" x14ac:dyDescent="0.15">
      <c r="A706" s="10">
        <f t="shared" si="20"/>
        <v>705</v>
      </c>
      <c r="B706" s="12" t="s">
        <v>3253</v>
      </c>
      <c r="C706" s="10" t="s">
        <v>16</v>
      </c>
      <c r="D706" s="12" t="s">
        <v>2290</v>
      </c>
      <c r="E706" s="13" t="s">
        <v>127</v>
      </c>
      <c r="F706" s="12" t="s">
        <v>2291</v>
      </c>
      <c r="G706" s="13"/>
      <c r="H706" s="22">
        <v>0</v>
      </c>
      <c r="I706" s="9">
        <f t="shared" ca="1" si="21"/>
        <v>0.40055136101004185</v>
      </c>
    </row>
    <row r="707" spans="1:9" ht="15.75" customHeight="1" x14ac:dyDescent="0.15">
      <c r="A707" s="10">
        <f t="shared" ref="A707:A770" si="22">ROW() - 1</f>
        <v>706</v>
      </c>
      <c r="B707" s="10" t="s">
        <v>20</v>
      </c>
      <c r="C707" s="10" t="s">
        <v>27</v>
      </c>
      <c r="D707" s="11" t="s">
        <v>2292</v>
      </c>
      <c r="E707" s="15">
        <v>64</v>
      </c>
      <c r="F707" s="11" t="s">
        <v>2293</v>
      </c>
      <c r="G707" s="13"/>
      <c r="H707" s="14">
        <v>1</v>
      </c>
      <c r="I707" s="9">
        <f t="shared" ca="1" si="21"/>
        <v>7.579320174834514E-2</v>
      </c>
    </row>
    <row r="708" spans="1:9" ht="15.75" customHeight="1" x14ac:dyDescent="0.15">
      <c r="A708" s="10">
        <f t="shared" si="22"/>
        <v>707</v>
      </c>
      <c r="B708" s="12" t="s">
        <v>3253</v>
      </c>
      <c r="C708" s="10" t="s">
        <v>21</v>
      </c>
      <c r="D708" s="11" t="s">
        <v>2294</v>
      </c>
      <c r="E708" s="13" t="s">
        <v>241</v>
      </c>
      <c r="F708" s="12" t="s">
        <v>2295</v>
      </c>
      <c r="G708" s="13"/>
      <c r="H708" s="22">
        <v>0</v>
      </c>
      <c r="I708" s="9">
        <f t="shared" ref="I708:I771" ca="1" si="23">RAND()</f>
        <v>0.82790981676093267</v>
      </c>
    </row>
    <row r="709" spans="1:9" ht="15.75" hidden="1" customHeight="1" x14ac:dyDescent="0.15">
      <c r="A709" s="10">
        <f t="shared" si="22"/>
        <v>708</v>
      </c>
      <c r="B709" s="11" t="s">
        <v>36</v>
      </c>
      <c r="C709" s="10" t="s">
        <v>16</v>
      </c>
      <c r="D709" s="11" t="s">
        <v>2296</v>
      </c>
      <c r="E709" s="13" t="s">
        <v>98</v>
      </c>
      <c r="F709" s="11" t="s">
        <v>2297</v>
      </c>
      <c r="G709" s="13"/>
      <c r="H709" s="22">
        <v>0</v>
      </c>
      <c r="I709" s="9">
        <f t="shared" ca="1" si="23"/>
        <v>8.878794351975039E-2</v>
      </c>
    </row>
    <row r="710" spans="1:9" ht="15.75" customHeight="1" x14ac:dyDescent="0.15">
      <c r="A710" s="10">
        <f t="shared" si="22"/>
        <v>709</v>
      </c>
      <c r="B710" s="12" t="s">
        <v>3253</v>
      </c>
      <c r="C710" s="10" t="s">
        <v>21</v>
      </c>
      <c r="D710" s="11" t="s">
        <v>2298</v>
      </c>
      <c r="E710" s="13" t="s">
        <v>620</v>
      </c>
      <c r="F710" s="12" t="s">
        <v>2299</v>
      </c>
      <c r="G710" s="13"/>
      <c r="H710" s="22">
        <v>0</v>
      </c>
      <c r="I710" s="9">
        <f t="shared" ca="1" si="23"/>
        <v>0.89526752179856173</v>
      </c>
    </row>
    <row r="711" spans="1:9" ht="15.75" customHeight="1" x14ac:dyDescent="0.15">
      <c r="A711" s="10">
        <f t="shared" si="22"/>
        <v>710</v>
      </c>
      <c r="B711" s="11" t="s">
        <v>31</v>
      </c>
      <c r="C711" s="10" t="s">
        <v>27</v>
      </c>
      <c r="D711" s="12" t="s">
        <v>2300</v>
      </c>
      <c r="E711" s="12" t="s">
        <v>2301</v>
      </c>
      <c r="F711" s="12" t="s">
        <v>2302</v>
      </c>
      <c r="G711" s="13"/>
      <c r="H711" s="22">
        <v>0</v>
      </c>
      <c r="I711" s="9">
        <f t="shared" ca="1" si="23"/>
        <v>0.64426180707202407</v>
      </c>
    </row>
    <row r="712" spans="1:9" ht="15.75" hidden="1" customHeight="1" x14ac:dyDescent="0.15">
      <c r="A712" s="10">
        <f t="shared" si="22"/>
        <v>711</v>
      </c>
      <c r="B712" s="11" t="s">
        <v>36</v>
      </c>
      <c r="C712" s="10" t="s">
        <v>16</v>
      </c>
      <c r="D712" s="12" t="s">
        <v>2303</v>
      </c>
      <c r="E712" s="13" t="s">
        <v>98</v>
      </c>
      <c r="F712" s="12" t="s">
        <v>2304</v>
      </c>
      <c r="G712" s="13"/>
      <c r="H712" s="22">
        <v>0</v>
      </c>
      <c r="I712" s="9">
        <f t="shared" ca="1" si="23"/>
        <v>0.13336639097661462</v>
      </c>
    </row>
    <row r="713" spans="1:9" ht="15.75" customHeight="1" x14ac:dyDescent="0.15">
      <c r="A713" s="10">
        <f t="shared" si="22"/>
        <v>712</v>
      </c>
      <c r="B713" s="12" t="s">
        <v>3253</v>
      </c>
      <c r="C713" s="10" t="s">
        <v>21</v>
      </c>
      <c r="D713" s="11" t="s">
        <v>2305</v>
      </c>
      <c r="E713" s="13" t="s">
        <v>141</v>
      </c>
      <c r="F713" s="11" t="s">
        <v>2306</v>
      </c>
      <c r="G713" s="13"/>
      <c r="H713" s="22">
        <v>0</v>
      </c>
      <c r="I713" s="9">
        <f t="shared" ca="1" si="23"/>
        <v>0.65622456367451321</v>
      </c>
    </row>
    <row r="714" spans="1:9" ht="15.75" hidden="1" customHeight="1" x14ac:dyDescent="0.15">
      <c r="A714" s="10">
        <f t="shared" si="22"/>
        <v>713</v>
      </c>
      <c r="B714" s="11" t="s">
        <v>31</v>
      </c>
      <c r="C714" s="10" t="s">
        <v>11</v>
      </c>
      <c r="D714" s="11" t="s">
        <v>2307</v>
      </c>
      <c r="E714" s="12" t="s">
        <v>2308</v>
      </c>
      <c r="F714" s="11" t="s">
        <v>2309</v>
      </c>
      <c r="G714" s="13"/>
      <c r="H714" s="22">
        <v>0</v>
      </c>
      <c r="I714" s="9">
        <f t="shared" ca="1" si="23"/>
        <v>0.67733807059150986</v>
      </c>
    </row>
    <row r="715" spans="1:9" ht="15.75" hidden="1" customHeight="1" x14ac:dyDescent="0.15">
      <c r="A715" s="10">
        <f t="shared" si="22"/>
        <v>714</v>
      </c>
      <c r="B715" s="12" t="s">
        <v>3253</v>
      </c>
      <c r="C715" s="10" t="s">
        <v>16</v>
      </c>
      <c r="D715" s="12" t="s">
        <v>2310</v>
      </c>
      <c r="E715" s="13" t="s">
        <v>127</v>
      </c>
      <c r="F715" s="12" t="s">
        <v>2311</v>
      </c>
      <c r="G715" s="13"/>
      <c r="H715" s="22">
        <v>0</v>
      </c>
      <c r="I715" s="9">
        <f t="shared" ca="1" si="23"/>
        <v>0.18936081070205657</v>
      </c>
    </row>
    <row r="716" spans="1:9" ht="15.75" customHeight="1" x14ac:dyDescent="0.15">
      <c r="A716" s="10">
        <f t="shared" si="22"/>
        <v>715</v>
      </c>
      <c r="B716" s="10" t="s">
        <v>20</v>
      </c>
      <c r="C716" s="10" t="s">
        <v>32</v>
      </c>
      <c r="D716" s="11" t="s">
        <v>2312</v>
      </c>
      <c r="E716" s="12" t="s">
        <v>174</v>
      </c>
      <c r="F716" s="11" t="s">
        <v>2313</v>
      </c>
      <c r="G716" s="13"/>
      <c r="H716" s="22">
        <v>0</v>
      </c>
      <c r="I716" s="9">
        <f t="shared" ca="1" si="23"/>
        <v>0.37630957473463167</v>
      </c>
    </row>
    <row r="717" spans="1:9" ht="15.75" hidden="1" customHeight="1" x14ac:dyDescent="0.15">
      <c r="A717" s="10">
        <f t="shared" si="22"/>
        <v>716</v>
      </c>
      <c r="B717" s="11" t="s">
        <v>36</v>
      </c>
      <c r="C717" s="10" t="s">
        <v>16</v>
      </c>
      <c r="D717" s="11" t="s">
        <v>2314</v>
      </c>
      <c r="E717" s="13" t="s">
        <v>159</v>
      </c>
      <c r="F717" s="12" t="s">
        <v>2315</v>
      </c>
      <c r="G717" s="13"/>
      <c r="H717" s="22">
        <v>0</v>
      </c>
      <c r="I717" s="9">
        <f t="shared" ca="1" si="23"/>
        <v>0.84018456509335293</v>
      </c>
    </row>
    <row r="718" spans="1:9" ht="15.75" hidden="1" customHeight="1" x14ac:dyDescent="0.15">
      <c r="A718" s="10">
        <f t="shared" si="22"/>
        <v>717</v>
      </c>
      <c r="B718" s="10" t="s">
        <v>20</v>
      </c>
      <c r="C718" s="10" t="s">
        <v>16</v>
      </c>
      <c r="D718" s="11" t="s">
        <v>2316</v>
      </c>
      <c r="E718" s="13" t="s">
        <v>106</v>
      </c>
      <c r="F718" s="19" t="s">
        <v>2317</v>
      </c>
      <c r="G718" s="13"/>
      <c r="H718" s="22">
        <v>0</v>
      </c>
      <c r="I718" s="9">
        <f t="shared" ca="1" si="23"/>
        <v>0.95920698597466736</v>
      </c>
    </row>
    <row r="719" spans="1:9" ht="15.75" hidden="1" customHeight="1" x14ac:dyDescent="0.15">
      <c r="A719" s="10">
        <f t="shared" si="22"/>
        <v>718</v>
      </c>
      <c r="B719" s="11" t="s">
        <v>36</v>
      </c>
      <c r="C719" s="10" t="s">
        <v>16</v>
      </c>
      <c r="D719" s="12" t="s">
        <v>2318</v>
      </c>
      <c r="E719" s="13" t="s">
        <v>127</v>
      </c>
      <c r="F719" s="12" t="s">
        <v>2319</v>
      </c>
      <c r="G719" s="13"/>
      <c r="H719" s="22">
        <v>0</v>
      </c>
      <c r="I719" s="9">
        <f t="shared" ca="1" si="23"/>
        <v>0.42023041107053005</v>
      </c>
    </row>
    <row r="720" spans="1:9" ht="15.75" customHeight="1" x14ac:dyDescent="0.15">
      <c r="A720" s="10">
        <f t="shared" si="22"/>
        <v>719</v>
      </c>
      <c r="B720" s="12" t="s">
        <v>1266</v>
      </c>
      <c r="C720" s="10" t="s">
        <v>21</v>
      </c>
      <c r="D720" s="12" t="s">
        <v>2320</v>
      </c>
      <c r="E720" s="13" t="s">
        <v>620</v>
      </c>
      <c r="F720" s="12" t="s">
        <v>2321</v>
      </c>
      <c r="G720" s="13"/>
      <c r="H720" s="22">
        <v>0</v>
      </c>
      <c r="I720" s="9">
        <f t="shared" ca="1" si="23"/>
        <v>0.52669419042520538</v>
      </c>
    </row>
    <row r="721" spans="1:9" ht="15.75" customHeight="1" x14ac:dyDescent="0.15">
      <c r="A721" s="10">
        <f t="shared" si="22"/>
        <v>720</v>
      </c>
      <c r="B721" s="10" t="s">
        <v>20</v>
      </c>
      <c r="C721" s="10" t="s">
        <v>32</v>
      </c>
      <c r="D721" s="11" t="s">
        <v>2322</v>
      </c>
      <c r="E721" s="12" t="s">
        <v>174</v>
      </c>
      <c r="F721" s="11" t="s">
        <v>2323</v>
      </c>
      <c r="G721" s="13"/>
      <c r="H721" s="22">
        <v>0</v>
      </c>
      <c r="I721" s="9">
        <f t="shared" ca="1" si="23"/>
        <v>0.41100246981043642</v>
      </c>
    </row>
    <row r="722" spans="1:9" ht="15.75" hidden="1" customHeight="1" x14ac:dyDescent="0.15">
      <c r="A722" s="10">
        <f t="shared" si="22"/>
        <v>721</v>
      </c>
      <c r="B722" s="10" t="s">
        <v>20</v>
      </c>
      <c r="C722" s="10" t="s">
        <v>11</v>
      </c>
      <c r="D722" s="12" t="s">
        <v>2324</v>
      </c>
      <c r="E722" s="12" t="s">
        <v>2325</v>
      </c>
      <c r="F722" s="11" t="s">
        <v>2326</v>
      </c>
      <c r="G722" s="13"/>
      <c r="H722" s="22">
        <v>0</v>
      </c>
      <c r="I722" s="9">
        <f t="shared" ca="1" si="23"/>
        <v>0.99640831669934293</v>
      </c>
    </row>
    <row r="723" spans="1:9" ht="15.75" hidden="1" customHeight="1" x14ac:dyDescent="0.15">
      <c r="A723" s="10">
        <f t="shared" si="22"/>
        <v>722</v>
      </c>
      <c r="B723" s="12" t="s">
        <v>3253</v>
      </c>
      <c r="C723" s="10" t="s">
        <v>11</v>
      </c>
      <c r="D723" s="12" t="s">
        <v>2327</v>
      </c>
      <c r="E723" s="12" t="s">
        <v>2328</v>
      </c>
      <c r="F723" s="11" t="s">
        <v>2329</v>
      </c>
      <c r="G723" s="13"/>
      <c r="H723" s="22">
        <v>0</v>
      </c>
      <c r="I723" s="9">
        <f t="shared" ca="1" si="23"/>
        <v>0.86909967732359983</v>
      </c>
    </row>
    <row r="724" spans="1:9" ht="15.75" customHeight="1" x14ac:dyDescent="0.15">
      <c r="A724" s="10">
        <f t="shared" si="22"/>
        <v>723</v>
      </c>
      <c r="B724" s="11" t="s">
        <v>31</v>
      </c>
      <c r="C724" s="10" t="s">
        <v>32</v>
      </c>
      <c r="D724" s="11" t="s">
        <v>2330</v>
      </c>
      <c r="E724" s="12" t="s">
        <v>174</v>
      </c>
      <c r="F724" s="11" t="s">
        <v>2331</v>
      </c>
      <c r="G724" s="13"/>
      <c r="H724" s="22">
        <v>0</v>
      </c>
      <c r="I724" s="9">
        <f t="shared" ca="1" si="23"/>
        <v>0.89094062942493146</v>
      </c>
    </row>
    <row r="725" spans="1:9" ht="15.75" customHeight="1" x14ac:dyDescent="0.15">
      <c r="A725" s="10">
        <f t="shared" si="22"/>
        <v>724</v>
      </c>
      <c r="B725" s="12" t="s">
        <v>3253</v>
      </c>
      <c r="C725" s="10" t="s">
        <v>32</v>
      </c>
      <c r="D725" s="12" t="s">
        <v>2332</v>
      </c>
      <c r="E725" s="12" t="s">
        <v>174</v>
      </c>
      <c r="F725" s="11" t="s">
        <v>2333</v>
      </c>
      <c r="G725" s="13"/>
      <c r="H725" s="22">
        <v>0</v>
      </c>
      <c r="I725" s="9">
        <f t="shared" ca="1" si="23"/>
        <v>0.63987298714392693</v>
      </c>
    </row>
    <row r="726" spans="1:9" ht="15.75" hidden="1" customHeight="1" x14ac:dyDescent="0.15">
      <c r="A726" s="10">
        <f t="shared" si="22"/>
        <v>725</v>
      </c>
      <c r="B726" s="10" t="s">
        <v>20</v>
      </c>
      <c r="C726" s="10" t="s">
        <v>11</v>
      </c>
      <c r="D726" s="11" t="s">
        <v>2334</v>
      </c>
      <c r="E726" s="12" t="s">
        <v>2335</v>
      </c>
      <c r="F726" s="11" t="s">
        <v>2336</v>
      </c>
      <c r="G726" s="13"/>
      <c r="H726" s="22">
        <v>0</v>
      </c>
      <c r="I726" s="9">
        <f t="shared" ca="1" si="23"/>
        <v>0.75233182315577107</v>
      </c>
    </row>
    <row r="727" spans="1:9" ht="15.75" customHeight="1" x14ac:dyDescent="0.15">
      <c r="A727" s="10">
        <f t="shared" si="22"/>
        <v>726</v>
      </c>
      <c r="B727" s="12" t="s">
        <v>3253</v>
      </c>
      <c r="C727" s="10" t="s">
        <v>27</v>
      </c>
      <c r="D727" s="11" t="s">
        <v>2337</v>
      </c>
      <c r="E727" s="15">
        <v>2090</v>
      </c>
      <c r="F727" s="11" t="s">
        <v>2338</v>
      </c>
      <c r="G727" s="13"/>
      <c r="H727" s="14">
        <v>1</v>
      </c>
      <c r="I727" s="9">
        <f t="shared" ca="1" si="23"/>
        <v>0.70195317547105951</v>
      </c>
    </row>
    <row r="728" spans="1:9" ht="15.75" customHeight="1" x14ac:dyDescent="0.15">
      <c r="A728" s="10">
        <f t="shared" si="22"/>
        <v>727</v>
      </c>
      <c r="B728" s="12" t="s">
        <v>3253</v>
      </c>
      <c r="C728" s="10" t="s">
        <v>27</v>
      </c>
      <c r="D728" s="12" t="s">
        <v>2339</v>
      </c>
      <c r="E728" s="12" t="s">
        <v>2340</v>
      </c>
      <c r="F728" s="12" t="s">
        <v>2341</v>
      </c>
      <c r="G728" s="13"/>
      <c r="H728" s="22">
        <v>0</v>
      </c>
      <c r="I728" s="9">
        <f t="shared" ca="1" si="23"/>
        <v>0.96552070936215961</v>
      </c>
    </row>
    <row r="729" spans="1:9" ht="15.75" customHeight="1" x14ac:dyDescent="0.15">
      <c r="A729" s="10">
        <f t="shared" si="22"/>
        <v>728</v>
      </c>
      <c r="B729" s="12" t="s">
        <v>1266</v>
      </c>
      <c r="C729" s="10" t="s">
        <v>27</v>
      </c>
      <c r="D729" s="12" t="s">
        <v>2342</v>
      </c>
      <c r="E729" s="12" t="s">
        <v>2343</v>
      </c>
      <c r="F729" s="12" t="s">
        <v>2344</v>
      </c>
      <c r="G729" s="13"/>
      <c r="H729" s="22">
        <v>0</v>
      </c>
      <c r="I729" s="9">
        <f t="shared" ca="1" si="23"/>
        <v>0.46843827160858531</v>
      </c>
    </row>
    <row r="730" spans="1:9" ht="15.75" customHeight="1" x14ac:dyDescent="0.15">
      <c r="A730" s="10">
        <f t="shared" si="22"/>
        <v>729</v>
      </c>
      <c r="B730" s="12" t="s">
        <v>3253</v>
      </c>
      <c r="C730" s="10" t="s">
        <v>32</v>
      </c>
      <c r="D730" s="11" t="s">
        <v>2345</v>
      </c>
      <c r="E730" s="12" t="s">
        <v>286</v>
      </c>
      <c r="F730" s="11" t="s">
        <v>2346</v>
      </c>
      <c r="G730" s="13"/>
      <c r="H730" s="22">
        <v>0</v>
      </c>
      <c r="I730" s="9">
        <f t="shared" ca="1" si="23"/>
        <v>0.56371770717882352</v>
      </c>
    </row>
    <row r="731" spans="1:9" ht="15.75" customHeight="1" x14ac:dyDescent="0.15">
      <c r="A731" s="10">
        <f t="shared" si="22"/>
        <v>730</v>
      </c>
      <c r="B731" s="11" t="s">
        <v>36</v>
      </c>
      <c r="C731" s="10" t="s">
        <v>21</v>
      </c>
      <c r="D731" s="11" t="s">
        <v>2347</v>
      </c>
      <c r="E731" s="13" t="s">
        <v>129</v>
      </c>
      <c r="F731" s="12" t="s">
        <v>2348</v>
      </c>
      <c r="G731" s="13"/>
      <c r="H731" s="22">
        <v>0</v>
      </c>
      <c r="I731" s="9">
        <f t="shared" ca="1" si="23"/>
        <v>0.20978610922991137</v>
      </c>
    </row>
    <row r="732" spans="1:9" ht="15.75" hidden="1" customHeight="1" x14ac:dyDescent="0.15">
      <c r="A732" s="10">
        <f t="shared" si="22"/>
        <v>731</v>
      </c>
      <c r="B732" s="12" t="s">
        <v>1266</v>
      </c>
      <c r="C732" s="10" t="s">
        <v>16</v>
      </c>
      <c r="D732" s="11" t="s">
        <v>2349</v>
      </c>
      <c r="E732" s="13" t="s">
        <v>98</v>
      </c>
      <c r="F732" s="11" t="s">
        <v>2350</v>
      </c>
      <c r="G732" s="13"/>
      <c r="H732" s="14">
        <v>1</v>
      </c>
      <c r="I732" s="9">
        <f t="shared" ca="1" si="23"/>
        <v>0.45435005783245064</v>
      </c>
    </row>
    <row r="733" spans="1:9" ht="15.75" customHeight="1" x14ac:dyDescent="0.15">
      <c r="A733" s="10">
        <f t="shared" si="22"/>
        <v>732</v>
      </c>
      <c r="B733" s="11" t="s">
        <v>36</v>
      </c>
      <c r="C733" s="10" t="s">
        <v>21</v>
      </c>
      <c r="D733" s="11" t="s">
        <v>2351</v>
      </c>
      <c r="E733" s="13" t="s">
        <v>560</v>
      </c>
      <c r="F733" s="11" t="s">
        <v>2352</v>
      </c>
      <c r="G733" s="13"/>
      <c r="H733" s="22">
        <v>0</v>
      </c>
      <c r="I733" s="9">
        <f t="shared" ca="1" si="23"/>
        <v>4.2636078112181841E-2</v>
      </c>
    </row>
    <row r="734" spans="1:9" ht="15.75" customHeight="1" x14ac:dyDescent="0.15">
      <c r="A734" s="10">
        <f t="shared" si="22"/>
        <v>733</v>
      </c>
      <c r="B734" s="12" t="s">
        <v>3253</v>
      </c>
      <c r="C734" s="10" t="s">
        <v>21</v>
      </c>
      <c r="D734" s="11" t="s">
        <v>2353</v>
      </c>
      <c r="E734" s="13" t="s">
        <v>1361</v>
      </c>
      <c r="F734" s="12" t="s">
        <v>2354</v>
      </c>
      <c r="G734" s="13"/>
      <c r="H734" s="22">
        <v>0</v>
      </c>
      <c r="I734" s="9">
        <f t="shared" ca="1" si="23"/>
        <v>0.46341729750328842</v>
      </c>
    </row>
    <row r="735" spans="1:9" ht="15.75" customHeight="1" x14ac:dyDescent="0.15">
      <c r="A735" s="10">
        <f t="shared" si="22"/>
        <v>734</v>
      </c>
      <c r="B735" s="12" t="s">
        <v>1266</v>
      </c>
      <c r="C735" s="10" t="s">
        <v>21</v>
      </c>
      <c r="D735" s="12" t="s">
        <v>2355</v>
      </c>
      <c r="E735" s="13" t="s">
        <v>1361</v>
      </c>
      <c r="F735" s="12" t="s">
        <v>2356</v>
      </c>
      <c r="G735" s="13"/>
      <c r="H735" s="22">
        <v>0</v>
      </c>
      <c r="I735" s="9">
        <f t="shared" ca="1" si="23"/>
        <v>0.71907485137324767</v>
      </c>
    </row>
    <row r="736" spans="1:9" ht="15.75" customHeight="1" x14ac:dyDescent="0.15">
      <c r="A736" s="10">
        <f t="shared" si="22"/>
        <v>735</v>
      </c>
      <c r="B736" s="11" t="s">
        <v>31</v>
      </c>
      <c r="C736" s="10" t="s">
        <v>27</v>
      </c>
      <c r="D736" s="12" t="s">
        <v>2357</v>
      </c>
      <c r="E736" s="15">
        <v>4</v>
      </c>
      <c r="F736" s="12" t="s">
        <v>2358</v>
      </c>
      <c r="G736" s="13"/>
      <c r="H736" s="14">
        <v>1</v>
      </c>
      <c r="I736" s="9">
        <f t="shared" ca="1" si="23"/>
        <v>0.14280036149318209</v>
      </c>
    </row>
    <row r="737" spans="1:9" ht="15.75" hidden="1" customHeight="1" x14ac:dyDescent="0.15">
      <c r="A737" s="10">
        <f t="shared" si="22"/>
        <v>736</v>
      </c>
      <c r="B737" s="11" t="s">
        <v>36</v>
      </c>
      <c r="C737" s="10" t="s">
        <v>16</v>
      </c>
      <c r="D737" s="12" t="s">
        <v>2359</v>
      </c>
      <c r="E737" s="13" t="s">
        <v>159</v>
      </c>
      <c r="F737" s="12" t="s">
        <v>2360</v>
      </c>
      <c r="G737" s="13"/>
      <c r="H737" s="22">
        <v>0</v>
      </c>
      <c r="I737" s="9">
        <f t="shared" ca="1" si="23"/>
        <v>0.22944911955540925</v>
      </c>
    </row>
    <row r="738" spans="1:9" ht="15.75" hidden="1" customHeight="1" x14ac:dyDescent="0.15">
      <c r="A738" s="10">
        <f t="shared" si="22"/>
        <v>737</v>
      </c>
      <c r="B738" s="10" t="s">
        <v>20</v>
      </c>
      <c r="C738" s="10" t="s">
        <v>16</v>
      </c>
      <c r="D738" s="11" t="s">
        <v>2361</v>
      </c>
      <c r="E738" s="13" t="s">
        <v>98</v>
      </c>
      <c r="F738" s="11" t="s">
        <v>2362</v>
      </c>
      <c r="G738" s="13"/>
      <c r="H738" s="22">
        <v>0</v>
      </c>
      <c r="I738" s="9">
        <f t="shared" ca="1" si="23"/>
        <v>0.58400078514380072</v>
      </c>
    </row>
    <row r="739" spans="1:9" ht="15.75" customHeight="1" x14ac:dyDescent="0.15">
      <c r="A739" s="10">
        <f t="shared" si="22"/>
        <v>738</v>
      </c>
      <c r="B739" s="10" t="s">
        <v>20</v>
      </c>
      <c r="C739" s="10" t="s">
        <v>27</v>
      </c>
      <c r="D739" s="11" t="s">
        <v>2363</v>
      </c>
      <c r="E739" s="11" t="s">
        <v>2364</v>
      </c>
      <c r="F739" s="11" t="s">
        <v>2365</v>
      </c>
      <c r="G739" s="13"/>
      <c r="H739" s="14">
        <v>1</v>
      </c>
      <c r="I739" s="9">
        <f t="shared" ca="1" si="23"/>
        <v>0.89420740995621317</v>
      </c>
    </row>
    <row r="740" spans="1:9" ht="15.75" hidden="1" customHeight="1" x14ac:dyDescent="0.15">
      <c r="A740" s="10">
        <f t="shared" si="22"/>
        <v>739</v>
      </c>
      <c r="B740" s="11" t="s">
        <v>36</v>
      </c>
      <c r="C740" s="10" t="s">
        <v>16</v>
      </c>
      <c r="D740" s="12" t="s">
        <v>2366</v>
      </c>
      <c r="E740" s="13" t="s">
        <v>98</v>
      </c>
      <c r="F740" s="12" t="s">
        <v>2367</v>
      </c>
      <c r="G740" s="13"/>
      <c r="H740" s="22">
        <v>0</v>
      </c>
      <c r="I740" s="9">
        <f t="shared" ca="1" si="23"/>
        <v>6.9229536579207274E-3</v>
      </c>
    </row>
    <row r="741" spans="1:9" ht="15.75" customHeight="1" x14ac:dyDescent="0.15">
      <c r="A741" s="10">
        <f t="shared" si="22"/>
        <v>740</v>
      </c>
      <c r="B741" s="11" t="s">
        <v>31</v>
      </c>
      <c r="C741" s="10" t="s">
        <v>32</v>
      </c>
      <c r="D741" s="11" t="s">
        <v>2368</v>
      </c>
      <c r="E741" s="12" t="s">
        <v>174</v>
      </c>
      <c r="F741" s="11" t="s">
        <v>2369</v>
      </c>
      <c r="G741" s="13"/>
      <c r="H741" s="22">
        <v>0</v>
      </c>
      <c r="I741" s="9">
        <f t="shared" ca="1" si="23"/>
        <v>0.93242068874613349</v>
      </c>
    </row>
    <row r="742" spans="1:9" ht="15.75" hidden="1" customHeight="1" x14ac:dyDescent="0.15">
      <c r="A742" s="10">
        <f t="shared" si="22"/>
        <v>741</v>
      </c>
      <c r="B742" s="11" t="s">
        <v>31</v>
      </c>
      <c r="C742" s="10" t="s">
        <v>11</v>
      </c>
      <c r="D742" s="11" t="s">
        <v>2370</v>
      </c>
      <c r="E742" s="12" t="s">
        <v>2371</v>
      </c>
      <c r="F742" s="11" t="s">
        <v>2372</v>
      </c>
      <c r="G742" s="13"/>
      <c r="H742" s="22">
        <v>0</v>
      </c>
      <c r="I742" s="9">
        <f t="shared" ca="1" si="23"/>
        <v>0.71418528034317275</v>
      </c>
    </row>
    <row r="743" spans="1:9" ht="15.75" customHeight="1" x14ac:dyDescent="0.15">
      <c r="A743" s="10">
        <f t="shared" si="22"/>
        <v>742</v>
      </c>
      <c r="B743" s="11" t="s">
        <v>36</v>
      </c>
      <c r="C743" s="10" t="s">
        <v>32</v>
      </c>
      <c r="D743" s="11" t="s">
        <v>2373</v>
      </c>
      <c r="E743" s="12" t="s">
        <v>286</v>
      </c>
      <c r="F743" s="11" t="s">
        <v>2374</v>
      </c>
      <c r="G743" s="13"/>
      <c r="H743" s="22">
        <v>0</v>
      </c>
      <c r="I743" s="9">
        <f t="shared" ca="1" si="23"/>
        <v>0.35544239937603739</v>
      </c>
    </row>
    <row r="744" spans="1:9" ht="15.75" customHeight="1" x14ac:dyDescent="0.15">
      <c r="A744" s="10">
        <f t="shared" si="22"/>
        <v>743</v>
      </c>
      <c r="B744" s="11" t="s">
        <v>31</v>
      </c>
      <c r="C744" s="10" t="s">
        <v>27</v>
      </c>
      <c r="D744" s="11" t="s">
        <v>2375</v>
      </c>
      <c r="E744" s="12" t="s">
        <v>2376</v>
      </c>
      <c r="F744" s="11" t="s">
        <v>2377</v>
      </c>
      <c r="G744" s="13"/>
      <c r="H744" s="22">
        <v>0</v>
      </c>
      <c r="I744" s="9">
        <f t="shared" ca="1" si="23"/>
        <v>0.11342133104756191</v>
      </c>
    </row>
    <row r="745" spans="1:9" ht="15.75" hidden="1" customHeight="1" x14ac:dyDescent="0.15">
      <c r="A745" s="10">
        <f t="shared" si="22"/>
        <v>744</v>
      </c>
      <c r="B745" s="12" t="s">
        <v>20</v>
      </c>
      <c r="C745" s="10" t="s">
        <v>16</v>
      </c>
      <c r="D745" s="11" t="s">
        <v>2378</v>
      </c>
      <c r="E745" s="13" t="s">
        <v>127</v>
      </c>
      <c r="F745" s="11" t="s">
        <v>2379</v>
      </c>
      <c r="G745" s="13"/>
      <c r="H745" s="22">
        <v>0</v>
      </c>
      <c r="I745" s="9">
        <f t="shared" ca="1" si="23"/>
        <v>0.52425377637346804</v>
      </c>
    </row>
    <row r="746" spans="1:9" ht="15.75" customHeight="1" x14ac:dyDescent="0.15">
      <c r="A746" s="10">
        <f t="shared" si="22"/>
        <v>745</v>
      </c>
      <c r="B746" s="11" t="s">
        <v>36</v>
      </c>
      <c r="C746" s="10" t="s">
        <v>32</v>
      </c>
      <c r="D746" s="11" t="s">
        <v>2380</v>
      </c>
      <c r="E746" s="12" t="s">
        <v>174</v>
      </c>
      <c r="F746" s="11" t="s">
        <v>2381</v>
      </c>
      <c r="G746" s="13"/>
      <c r="H746" s="22">
        <v>0</v>
      </c>
      <c r="I746" s="9">
        <f t="shared" ca="1" si="23"/>
        <v>0.92833837756001103</v>
      </c>
    </row>
    <row r="747" spans="1:9" ht="15.75" customHeight="1" x14ac:dyDescent="0.15">
      <c r="A747" s="10">
        <f t="shared" si="22"/>
        <v>746</v>
      </c>
      <c r="B747" s="12" t="s">
        <v>3253</v>
      </c>
      <c r="C747" s="10" t="s">
        <v>21</v>
      </c>
      <c r="D747" s="11" t="s">
        <v>2382</v>
      </c>
      <c r="E747" s="13" t="s">
        <v>1361</v>
      </c>
      <c r="F747" s="11" t="s">
        <v>2383</v>
      </c>
      <c r="G747" s="13"/>
      <c r="H747" s="22">
        <v>0</v>
      </c>
      <c r="I747" s="9">
        <f t="shared" ca="1" si="23"/>
        <v>6.3834705600506969E-2</v>
      </c>
    </row>
    <row r="748" spans="1:9" ht="15.75" customHeight="1" x14ac:dyDescent="0.15">
      <c r="A748" s="10">
        <f t="shared" si="22"/>
        <v>747</v>
      </c>
      <c r="B748" s="11" t="s">
        <v>36</v>
      </c>
      <c r="C748" s="10" t="s">
        <v>21</v>
      </c>
      <c r="D748" s="11" t="s">
        <v>2384</v>
      </c>
      <c r="E748" s="13" t="s">
        <v>1361</v>
      </c>
      <c r="F748" s="11" t="s">
        <v>2385</v>
      </c>
      <c r="G748" s="13"/>
      <c r="H748" s="22">
        <v>0</v>
      </c>
      <c r="I748" s="9">
        <f t="shared" ca="1" si="23"/>
        <v>0.54157636110257135</v>
      </c>
    </row>
    <row r="749" spans="1:9" ht="15.75" customHeight="1" x14ac:dyDescent="0.15">
      <c r="A749" s="10">
        <f t="shared" si="22"/>
        <v>748</v>
      </c>
      <c r="B749" s="10" t="s">
        <v>20</v>
      </c>
      <c r="C749" s="10" t="s">
        <v>32</v>
      </c>
      <c r="D749" s="11" t="s">
        <v>2386</v>
      </c>
      <c r="E749" s="12" t="s">
        <v>286</v>
      </c>
      <c r="F749" s="11" t="s">
        <v>2387</v>
      </c>
      <c r="G749" s="13"/>
      <c r="H749" s="22">
        <v>0</v>
      </c>
      <c r="I749" s="9">
        <f t="shared" ca="1" si="23"/>
        <v>5.1764020817233303E-2</v>
      </c>
    </row>
    <row r="750" spans="1:9" ht="15.75" hidden="1" customHeight="1" x14ac:dyDescent="0.15">
      <c r="A750" s="10">
        <f t="shared" si="22"/>
        <v>749</v>
      </c>
      <c r="B750" s="12" t="s">
        <v>3253</v>
      </c>
      <c r="C750" s="10" t="s">
        <v>16</v>
      </c>
      <c r="D750" s="12" t="s">
        <v>2388</v>
      </c>
      <c r="E750" s="13" t="s">
        <v>98</v>
      </c>
      <c r="F750" s="12" t="s">
        <v>2389</v>
      </c>
      <c r="G750" s="13"/>
      <c r="H750" s="22">
        <v>0</v>
      </c>
      <c r="I750" s="9">
        <f t="shared" ca="1" si="23"/>
        <v>0.19313360783177946</v>
      </c>
    </row>
    <row r="751" spans="1:9" ht="15.75" customHeight="1" x14ac:dyDescent="0.15">
      <c r="A751" s="10">
        <f t="shared" si="22"/>
        <v>750</v>
      </c>
      <c r="B751" s="11" t="s">
        <v>31</v>
      </c>
      <c r="C751" s="10" t="s">
        <v>27</v>
      </c>
      <c r="D751" s="11" t="s">
        <v>2390</v>
      </c>
      <c r="E751" s="11" t="s">
        <v>2391</v>
      </c>
      <c r="F751" s="11" t="s">
        <v>2392</v>
      </c>
      <c r="G751" s="13"/>
      <c r="H751" s="22">
        <v>0</v>
      </c>
      <c r="I751" s="9">
        <f t="shared" ca="1" si="23"/>
        <v>0.87762470992450714</v>
      </c>
    </row>
    <row r="752" spans="1:9" ht="15.75" hidden="1" customHeight="1" x14ac:dyDescent="0.15">
      <c r="A752" s="10">
        <f t="shared" si="22"/>
        <v>751</v>
      </c>
      <c r="B752" s="11" t="s">
        <v>36</v>
      </c>
      <c r="C752" s="10" t="s">
        <v>11</v>
      </c>
      <c r="D752" s="11" t="s">
        <v>2393</v>
      </c>
      <c r="E752" s="12" t="s">
        <v>2394</v>
      </c>
      <c r="F752" s="11" t="s">
        <v>2395</v>
      </c>
      <c r="G752" s="13"/>
      <c r="H752" s="22">
        <v>0</v>
      </c>
      <c r="I752" s="9">
        <f t="shared" ca="1" si="23"/>
        <v>0.24327941686144594</v>
      </c>
    </row>
    <row r="753" spans="1:9" ht="15.75" customHeight="1" x14ac:dyDescent="0.15">
      <c r="A753" s="10">
        <f t="shared" si="22"/>
        <v>752</v>
      </c>
      <c r="B753" s="11" t="s">
        <v>36</v>
      </c>
      <c r="C753" s="10" t="s">
        <v>27</v>
      </c>
      <c r="D753" s="11" t="s">
        <v>2396</v>
      </c>
      <c r="E753" s="11" t="s">
        <v>2397</v>
      </c>
      <c r="F753" s="11" t="s">
        <v>2398</v>
      </c>
      <c r="G753" s="13"/>
      <c r="H753" s="22">
        <v>0</v>
      </c>
      <c r="I753" s="9">
        <f t="shared" ca="1" si="23"/>
        <v>0.52256895506593859</v>
      </c>
    </row>
    <row r="754" spans="1:9" ht="15.75" customHeight="1" x14ac:dyDescent="0.15">
      <c r="A754" s="10">
        <f t="shared" si="22"/>
        <v>753</v>
      </c>
      <c r="B754" s="12" t="s">
        <v>3253</v>
      </c>
      <c r="C754" s="10" t="s">
        <v>27</v>
      </c>
      <c r="D754" s="11" t="s">
        <v>2399</v>
      </c>
      <c r="E754" s="11" t="s">
        <v>2400</v>
      </c>
      <c r="F754" s="11" t="s">
        <v>2401</v>
      </c>
      <c r="G754" s="13"/>
      <c r="H754" s="22">
        <v>0</v>
      </c>
      <c r="I754" s="9">
        <f t="shared" ca="1" si="23"/>
        <v>0.78941588068883528</v>
      </c>
    </row>
    <row r="755" spans="1:9" ht="15.75" customHeight="1" x14ac:dyDescent="0.15">
      <c r="A755" s="10">
        <f t="shared" si="22"/>
        <v>754</v>
      </c>
      <c r="B755" s="11" t="s">
        <v>31</v>
      </c>
      <c r="C755" s="10" t="s">
        <v>21</v>
      </c>
      <c r="D755" s="12" t="s">
        <v>2402</v>
      </c>
      <c r="E755" s="13" t="s">
        <v>129</v>
      </c>
      <c r="F755" s="12" t="s">
        <v>2403</v>
      </c>
      <c r="G755" s="13"/>
      <c r="H755" s="22">
        <v>0</v>
      </c>
      <c r="I755" s="9">
        <f t="shared" ca="1" si="23"/>
        <v>0.60098298603125022</v>
      </c>
    </row>
    <row r="756" spans="1:9" ht="15.75" customHeight="1" x14ac:dyDescent="0.15">
      <c r="A756" s="10">
        <f t="shared" si="22"/>
        <v>755</v>
      </c>
      <c r="B756" s="11" t="s">
        <v>36</v>
      </c>
      <c r="C756" s="10" t="s">
        <v>21</v>
      </c>
      <c r="D756" s="11" t="s">
        <v>2404</v>
      </c>
      <c r="E756" s="13" t="s">
        <v>241</v>
      </c>
      <c r="F756" s="12" t="s">
        <v>2405</v>
      </c>
      <c r="G756" s="13"/>
      <c r="H756" s="22">
        <v>0</v>
      </c>
      <c r="I756" s="9">
        <f t="shared" ca="1" si="23"/>
        <v>0.34076664333403828</v>
      </c>
    </row>
    <row r="757" spans="1:9" ht="15.75" hidden="1" customHeight="1" x14ac:dyDescent="0.15">
      <c r="A757" s="10">
        <f t="shared" si="22"/>
        <v>756</v>
      </c>
      <c r="B757" s="11" t="s">
        <v>36</v>
      </c>
      <c r="C757" s="10" t="s">
        <v>16</v>
      </c>
      <c r="D757" s="11" t="s">
        <v>2406</v>
      </c>
      <c r="E757" s="13" t="s">
        <v>98</v>
      </c>
      <c r="F757" s="11" t="s">
        <v>2407</v>
      </c>
      <c r="G757" s="13"/>
      <c r="H757" s="22">
        <v>0</v>
      </c>
      <c r="I757" s="9">
        <f t="shared" ca="1" si="23"/>
        <v>2.0001003758208236E-2</v>
      </c>
    </row>
    <row r="758" spans="1:9" ht="15.75" hidden="1" customHeight="1" x14ac:dyDescent="0.15">
      <c r="A758" s="10">
        <f t="shared" si="22"/>
        <v>757</v>
      </c>
      <c r="B758" s="10" t="s">
        <v>20</v>
      </c>
      <c r="C758" s="10" t="s">
        <v>11</v>
      </c>
      <c r="D758" s="12" t="s">
        <v>2408</v>
      </c>
      <c r="E758" s="12" t="s">
        <v>2409</v>
      </c>
      <c r="F758" s="11" t="s">
        <v>2410</v>
      </c>
      <c r="G758" s="13"/>
      <c r="H758" s="22">
        <v>0</v>
      </c>
      <c r="I758" s="9">
        <f t="shared" ca="1" si="23"/>
        <v>8.7532093657784471E-2</v>
      </c>
    </row>
    <row r="759" spans="1:9" ht="15.75" hidden="1" customHeight="1" x14ac:dyDescent="0.15">
      <c r="A759" s="10">
        <f t="shared" si="22"/>
        <v>758</v>
      </c>
      <c r="B759" s="11" t="s">
        <v>36</v>
      </c>
      <c r="C759" s="10" t="s">
        <v>16</v>
      </c>
      <c r="D759" s="12" t="s">
        <v>2411</v>
      </c>
      <c r="E759" s="13" t="s">
        <v>159</v>
      </c>
      <c r="F759" s="12" t="s">
        <v>2412</v>
      </c>
      <c r="G759" s="13"/>
      <c r="H759" s="22">
        <v>0</v>
      </c>
      <c r="I759" s="9">
        <f t="shared" ca="1" si="23"/>
        <v>0.59992343447154517</v>
      </c>
    </row>
    <row r="760" spans="1:9" ht="15.75" hidden="1" customHeight="1" x14ac:dyDescent="0.15">
      <c r="A760" s="10">
        <f t="shared" si="22"/>
        <v>759</v>
      </c>
      <c r="B760" s="11" t="s">
        <v>36</v>
      </c>
      <c r="C760" s="10" t="s">
        <v>16</v>
      </c>
      <c r="D760" s="11" t="s">
        <v>2413</v>
      </c>
      <c r="E760" s="13" t="s">
        <v>98</v>
      </c>
      <c r="F760" s="11" t="s">
        <v>2414</v>
      </c>
      <c r="G760" s="13"/>
      <c r="H760" s="22">
        <v>0</v>
      </c>
      <c r="I760" s="9">
        <f t="shared" ca="1" si="23"/>
        <v>0.68460954297154553</v>
      </c>
    </row>
    <row r="761" spans="1:9" ht="15.75" customHeight="1" x14ac:dyDescent="0.15">
      <c r="A761" s="10">
        <f t="shared" si="22"/>
        <v>760</v>
      </c>
      <c r="B761" s="10" t="s">
        <v>20</v>
      </c>
      <c r="C761" s="10" t="s">
        <v>27</v>
      </c>
      <c r="D761" s="11" t="s">
        <v>2415</v>
      </c>
      <c r="E761" s="11" t="s">
        <v>2416</v>
      </c>
      <c r="F761" s="11" t="s">
        <v>2417</v>
      </c>
      <c r="G761" s="13"/>
      <c r="H761" s="14">
        <v>1</v>
      </c>
      <c r="I761" s="9">
        <f t="shared" ca="1" si="23"/>
        <v>0.3466005914993886</v>
      </c>
    </row>
    <row r="762" spans="1:9" ht="15.75" customHeight="1" x14ac:dyDescent="0.2">
      <c r="A762" s="10">
        <f t="shared" si="22"/>
        <v>761</v>
      </c>
      <c r="B762" s="12" t="s">
        <v>1266</v>
      </c>
      <c r="C762" s="10" t="s">
        <v>27</v>
      </c>
      <c r="D762" s="11" t="s">
        <v>2418</v>
      </c>
      <c r="E762" s="21" t="s">
        <v>2419</v>
      </c>
      <c r="F762" s="11" t="s">
        <v>2420</v>
      </c>
      <c r="G762" s="13"/>
      <c r="H762" s="22">
        <v>0</v>
      </c>
      <c r="I762" s="9">
        <f t="shared" ca="1" si="23"/>
        <v>0.41557931133778669</v>
      </c>
    </row>
    <row r="763" spans="1:9" ht="15.75" hidden="1" customHeight="1" x14ac:dyDescent="0.15">
      <c r="A763" s="10">
        <f t="shared" si="22"/>
        <v>762</v>
      </c>
      <c r="B763" s="10" t="s">
        <v>20</v>
      </c>
      <c r="C763" s="10" t="s">
        <v>16</v>
      </c>
      <c r="D763" s="12" t="s">
        <v>2421</v>
      </c>
      <c r="E763" s="13" t="s">
        <v>98</v>
      </c>
      <c r="F763" s="12" t="s">
        <v>2422</v>
      </c>
      <c r="G763" s="13"/>
      <c r="H763" s="22">
        <v>0</v>
      </c>
      <c r="I763" s="9">
        <f t="shared" ca="1" si="23"/>
        <v>0.47312636737302871</v>
      </c>
    </row>
    <row r="764" spans="1:9" ht="15.75" customHeight="1" x14ac:dyDescent="0.15">
      <c r="A764" s="10">
        <f t="shared" si="22"/>
        <v>763</v>
      </c>
      <c r="B764" s="11" t="s">
        <v>36</v>
      </c>
      <c r="C764" s="10" t="s">
        <v>21</v>
      </c>
      <c r="D764" s="12" t="s">
        <v>2423</v>
      </c>
      <c r="E764" s="13" t="s">
        <v>601</v>
      </c>
      <c r="F764" s="12" t="s">
        <v>2424</v>
      </c>
      <c r="G764" s="13"/>
      <c r="H764" s="22">
        <v>0</v>
      </c>
      <c r="I764" s="9">
        <f t="shared" ca="1" si="23"/>
        <v>0.60216191967712918</v>
      </c>
    </row>
    <row r="765" spans="1:9" ht="15.75" hidden="1" customHeight="1" x14ac:dyDescent="0.15">
      <c r="A765" s="10">
        <f t="shared" si="22"/>
        <v>764</v>
      </c>
      <c r="B765" s="10" t="s">
        <v>20</v>
      </c>
      <c r="C765" s="10" t="s">
        <v>16</v>
      </c>
      <c r="D765" s="11" t="s">
        <v>2425</v>
      </c>
      <c r="E765" s="13" t="s">
        <v>106</v>
      </c>
      <c r="F765" s="19" t="s">
        <v>2426</v>
      </c>
      <c r="G765" s="13"/>
      <c r="H765" s="22">
        <v>0</v>
      </c>
      <c r="I765" s="9">
        <f t="shared" ca="1" si="23"/>
        <v>0.15412549217548566</v>
      </c>
    </row>
    <row r="766" spans="1:9" ht="15.75" customHeight="1" x14ac:dyDescent="0.15">
      <c r="A766" s="10">
        <f t="shared" si="22"/>
        <v>765</v>
      </c>
      <c r="B766" s="10" t="s">
        <v>20</v>
      </c>
      <c r="C766" s="10" t="s">
        <v>21</v>
      </c>
      <c r="D766" s="11" t="s">
        <v>2427</v>
      </c>
      <c r="E766" s="13" t="s">
        <v>1361</v>
      </c>
      <c r="F766" s="11" t="s">
        <v>2428</v>
      </c>
      <c r="G766" s="13"/>
      <c r="H766" s="22">
        <v>0</v>
      </c>
      <c r="I766" s="9">
        <f t="shared" ca="1" si="23"/>
        <v>0.34992691640491069</v>
      </c>
    </row>
    <row r="767" spans="1:9" ht="15.75" customHeight="1" x14ac:dyDescent="0.15">
      <c r="A767" s="10">
        <f t="shared" si="22"/>
        <v>766</v>
      </c>
      <c r="B767" s="12" t="s">
        <v>3253</v>
      </c>
      <c r="C767" s="10" t="s">
        <v>32</v>
      </c>
      <c r="D767" s="11" t="s">
        <v>2429</v>
      </c>
      <c r="E767" s="12" t="s">
        <v>174</v>
      </c>
      <c r="F767" s="11" t="s">
        <v>2430</v>
      </c>
      <c r="G767" s="13"/>
      <c r="H767" s="22">
        <v>0</v>
      </c>
      <c r="I767" s="9">
        <f t="shared" ca="1" si="23"/>
        <v>0.43000978465440076</v>
      </c>
    </row>
    <row r="768" spans="1:9" ht="15.75" hidden="1" customHeight="1" x14ac:dyDescent="0.15">
      <c r="A768" s="10">
        <f t="shared" si="22"/>
        <v>767</v>
      </c>
      <c r="B768" s="12" t="s">
        <v>3253</v>
      </c>
      <c r="C768" s="10" t="s">
        <v>11</v>
      </c>
      <c r="D768" s="12" t="s">
        <v>2431</v>
      </c>
      <c r="E768" s="12" t="s">
        <v>2432</v>
      </c>
      <c r="F768" s="11" t="s">
        <v>2433</v>
      </c>
      <c r="G768" s="13"/>
      <c r="H768" s="22">
        <v>0</v>
      </c>
      <c r="I768" s="9">
        <f t="shared" ca="1" si="23"/>
        <v>0.18047430187494096</v>
      </c>
    </row>
    <row r="769" spans="1:9" ht="15.75" customHeight="1" x14ac:dyDescent="0.15">
      <c r="A769" s="10">
        <f t="shared" si="22"/>
        <v>768</v>
      </c>
      <c r="B769" s="12" t="s">
        <v>1266</v>
      </c>
      <c r="C769" s="10" t="s">
        <v>32</v>
      </c>
      <c r="D769" s="12" t="s">
        <v>2434</v>
      </c>
      <c r="E769" s="12" t="s">
        <v>286</v>
      </c>
      <c r="F769" s="11" t="s">
        <v>2435</v>
      </c>
      <c r="G769" s="13"/>
      <c r="H769" s="22">
        <v>0</v>
      </c>
      <c r="I769" s="9">
        <f t="shared" ca="1" si="23"/>
        <v>0.24357148172180831</v>
      </c>
    </row>
    <row r="770" spans="1:9" ht="15.75" customHeight="1" x14ac:dyDescent="0.15">
      <c r="A770" s="10">
        <f t="shared" si="22"/>
        <v>769</v>
      </c>
      <c r="B770" s="10" t="s">
        <v>20</v>
      </c>
      <c r="C770" s="10" t="s">
        <v>27</v>
      </c>
      <c r="D770" s="11" t="s">
        <v>2436</v>
      </c>
      <c r="E770" s="15">
        <v>1</v>
      </c>
      <c r="F770" s="11" t="s">
        <v>2437</v>
      </c>
      <c r="G770" s="13"/>
      <c r="H770" s="22">
        <v>0</v>
      </c>
      <c r="I770" s="9">
        <f t="shared" ca="1" si="23"/>
        <v>0.14903042097416586</v>
      </c>
    </row>
    <row r="771" spans="1:9" ht="15.75" hidden="1" customHeight="1" x14ac:dyDescent="0.2">
      <c r="A771" s="10">
        <f t="shared" ref="A771:A834" si="24">ROW() - 1</f>
        <v>770</v>
      </c>
      <c r="B771" s="11" t="s">
        <v>36</v>
      </c>
      <c r="C771" s="10" t="s">
        <v>11</v>
      </c>
      <c r="D771" s="11" t="s">
        <v>2438</v>
      </c>
      <c r="E771" s="16" t="s">
        <v>2439</v>
      </c>
      <c r="F771" s="11" t="s">
        <v>2440</v>
      </c>
      <c r="G771" s="13"/>
      <c r="H771" s="22">
        <v>0</v>
      </c>
      <c r="I771" s="9">
        <f t="shared" ca="1" si="23"/>
        <v>0.90070952944978366</v>
      </c>
    </row>
    <row r="772" spans="1:9" ht="15.75" customHeight="1" x14ac:dyDescent="0.15">
      <c r="A772" s="10">
        <f t="shared" si="24"/>
        <v>771</v>
      </c>
      <c r="B772" s="11" t="s">
        <v>36</v>
      </c>
      <c r="C772" s="10" t="s">
        <v>27</v>
      </c>
      <c r="D772" s="11" t="s">
        <v>2441</v>
      </c>
      <c r="E772" s="11" t="s">
        <v>2442</v>
      </c>
      <c r="F772" s="11" t="s">
        <v>2443</v>
      </c>
      <c r="G772" s="13"/>
      <c r="H772" s="22">
        <v>0</v>
      </c>
      <c r="I772" s="9">
        <f t="shared" ref="I772:I835" ca="1" si="25">RAND()</f>
        <v>0.18515138045669055</v>
      </c>
    </row>
    <row r="773" spans="1:9" ht="15.75" hidden="1" customHeight="1" x14ac:dyDescent="0.15">
      <c r="A773" s="10">
        <f t="shared" si="24"/>
        <v>772</v>
      </c>
      <c r="B773" s="12" t="s">
        <v>3253</v>
      </c>
      <c r="C773" s="10" t="s">
        <v>16</v>
      </c>
      <c r="D773" s="12" t="s">
        <v>2444</v>
      </c>
      <c r="E773" s="13" t="s">
        <v>127</v>
      </c>
      <c r="F773" s="12" t="s">
        <v>2445</v>
      </c>
      <c r="G773" s="13"/>
      <c r="H773" s="22">
        <v>0</v>
      </c>
      <c r="I773" s="9">
        <f t="shared" ca="1" si="25"/>
        <v>0.30206139071581917</v>
      </c>
    </row>
    <row r="774" spans="1:9" ht="15.75" customHeight="1" x14ac:dyDescent="0.15">
      <c r="A774" s="10">
        <f t="shared" si="24"/>
        <v>773</v>
      </c>
      <c r="B774" s="12" t="s">
        <v>1266</v>
      </c>
      <c r="C774" s="10" t="s">
        <v>32</v>
      </c>
      <c r="D774" s="11" t="s">
        <v>2446</v>
      </c>
      <c r="E774" s="12" t="s">
        <v>174</v>
      </c>
      <c r="F774" s="11" t="s">
        <v>2447</v>
      </c>
      <c r="G774" s="13"/>
      <c r="H774" s="22">
        <v>0</v>
      </c>
      <c r="I774" s="9">
        <f t="shared" ca="1" si="25"/>
        <v>0.68621166965636604</v>
      </c>
    </row>
    <row r="775" spans="1:9" ht="15.75" hidden="1" customHeight="1" x14ac:dyDescent="0.15">
      <c r="A775" s="10">
        <f t="shared" si="24"/>
        <v>774</v>
      </c>
      <c r="B775" s="12" t="s">
        <v>1266</v>
      </c>
      <c r="C775" s="10" t="s">
        <v>11</v>
      </c>
      <c r="D775" s="11" t="s">
        <v>2448</v>
      </c>
      <c r="E775" s="12" t="s">
        <v>2449</v>
      </c>
      <c r="F775" s="11" t="s">
        <v>2450</v>
      </c>
      <c r="G775" s="13"/>
      <c r="H775" s="22">
        <v>0</v>
      </c>
      <c r="I775" s="9">
        <f t="shared" ca="1" si="25"/>
        <v>0.92064558872253011</v>
      </c>
    </row>
    <row r="776" spans="1:9" ht="15.75" hidden="1" customHeight="1" x14ac:dyDescent="0.15">
      <c r="A776" s="10">
        <f t="shared" si="24"/>
        <v>775</v>
      </c>
      <c r="B776" s="12" t="s">
        <v>3253</v>
      </c>
      <c r="C776" s="10" t="s">
        <v>11</v>
      </c>
      <c r="D776" s="12" t="s">
        <v>2451</v>
      </c>
      <c r="E776" s="12" t="s">
        <v>2452</v>
      </c>
      <c r="F776" s="11" t="s">
        <v>2453</v>
      </c>
      <c r="G776" s="13"/>
      <c r="H776" s="22">
        <v>0</v>
      </c>
      <c r="I776" s="9">
        <f t="shared" ca="1" si="25"/>
        <v>0.37313233047308458</v>
      </c>
    </row>
    <row r="777" spans="1:9" ht="15.75" customHeight="1" x14ac:dyDescent="0.15">
      <c r="A777" s="10">
        <f t="shared" si="24"/>
        <v>776</v>
      </c>
      <c r="B777" s="10" t="s">
        <v>20</v>
      </c>
      <c r="C777" s="10" t="s">
        <v>32</v>
      </c>
      <c r="D777" s="11" t="s">
        <v>2454</v>
      </c>
      <c r="E777" s="12" t="s">
        <v>174</v>
      </c>
      <c r="F777" s="11" t="s">
        <v>2455</v>
      </c>
      <c r="G777" s="13"/>
      <c r="H777" s="22">
        <v>0</v>
      </c>
      <c r="I777" s="9">
        <f t="shared" ca="1" si="25"/>
        <v>0.24068805403442484</v>
      </c>
    </row>
    <row r="778" spans="1:9" ht="15.75" hidden="1" customHeight="1" x14ac:dyDescent="0.15">
      <c r="A778" s="10">
        <f t="shared" si="24"/>
        <v>777</v>
      </c>
      <c r="B778" s="11" t="s">
        <v>36</v>
      </c>
      <c r="C778" s="10" t="s">
        <v>16</v>
      </c>
      <c r="D778" s="12" t="s">
        <v>2456</v>
      </c>
      <c r="E778" s="13" t="s">
        <v>98</v>
      </c>
      <c r="F778" s="12" t="s">
        <v>2457</v>
      </c>
      <c r="G778" s="13"/>
      <c r="H778" s="22">
        <v>0</v>
      </c>
      <c r="I778" s="9">
        <f t="shared" ca="1" si="25"/>
        <v>0.56553215772359522</v>
      </c>
    </row>
    <row r="779" spans="1:9" ht="15.75" customHeight="1" x14ac:dyDescent="0.15">
      <c r="A779" s="10">
        <f t="shared" si="24"/>
        <v>778</v>
      </c>
      <c r="B779" s="10" t="s">
        <v>20</v>
      </c>
      <c r="C779" s="10" t="s">
        <v>27</v>
      </c>
      <c r="D779" s="12" t="s">
        <v>2458</v>
      </c>
      <c r="E779" s="12" t="s">
        <v>2459</v>
      </c>
      <c r="F779" s="12" t="s">
        <v>2460</v>
      </c>
      <c r="G779" s="13"/>
      <c r="H779" s="22">
        <v>0</v>
      </c>
      <c r="I779" s="9">
        <f t="shared" ca="1" si="25"/>
        <v>0.43630022766286702</v>
      </c>
    </row>
    <row r="780" spans="1:9" ht="15.75" customHeight="1" x14ac:dyDescent="0.15">
      <c r="A780" s="10">
        <f t="shared" si="24"/>
        <v>779</v>
      </c>
      <c r="B780" s="12" t="s">
        <v>3253</v>
      </c>
      <c r="C780" s="10" t="s">
        <v>21</v>
      </c>
      <c r="D780" s="11" t="s">
        <v>2461</v>
      </c>
      <c r="E780" s="13" t="s">
        <v>134</v>
      </c>
      <c r="F780" s="12" t="s">
        <v>2462</v>
      </c>
      <c r="G780" s="13"/>
      <c r="H780" s="22">
        <v>0</v>
      </c>
      <c r="I780" s="9">
        <f t="shared" ca="1" si="25"/>
        <v>0.89573415331700723</v>
      </c>
    </row>
    <row r="781" spans="1:9" ht="15.75" customHeight="1" x14ac:dyDescent="0.15">
      <c r="A781" s="10">
        <f t="shared" si="24"/>
        <v>780</v>
      </c>
      <c r="B781" s="10" t="s">
        <v>20</v>
      </c>
      <c r="C781" s="10" t="s">
        <v>32</v>
      </c>
      <c r="D781" s="11" t="s">
        <v>2463</v>
      </c>
      <c r="E781" s="12" t="s">
        <v>174</v>
      </c>
      <c r="F781" s="11" t="s">
        <v>2464</v>
      </c>
      <c r="G781" s="13"/>
      <c r="H781" s="22">
        <v>0</v>
      </c>
      <c r="I781" s="9">
        <f t="shared" ca="1" si="25"/>
        <v>0.26172853510999006</v>
      </c>
    </row>
    <row r="782" spans="1:9" ht="15.75" customHeight="1" x14ac:dyDescent="0.15">
      <c r="A782" s="10">
        <f t="shared" si="24"/>
        <v>781</v>
      </c>
      <c r="B782" s="10" t="s">
        <v>20</v>
      </c>
      <c r="C782" s="10" t="s">
        <v>27</v>
      </c>
      <c r="D782" s="12" t="s">
        <v>2465</v>
      </c>
      <c r="E782" s="12" t="s">
        <v>2466</v>
      </c>
      <c r="F782" s="12" t="s">
        <v>2467</v>
      </c>
      <c r="G782" s="13"/>
      <c r="H782" s="22">
        <v>0</v>
      </c>
      <c r="I782" s="9">
        <f t="shared" ca="1" si="25"/>
        <v>0.11454362143434149</v>
      </c>
    </row>
    <row r="783" spans="1:9" ht="15.75" customHeight="1" x14ac:dyDescent="0.15">
      <c r="A783" s="10">
        <f t="shared" si="24"/>
        <v>782</v>
      </c>
      <c r="B783" s="11" t="s">
        <v>31</v>
      </c>
      <c r="C783" s="10" t="s">
        <v>32</v>
      </c>
      <c r="D783" s="11" t="s">
        <v>2468</v>
      </c>
      <c r="E783" s="12" t="s">
        <v>286</v>
      </c>
      <c r="F783" s="11" t="s">
        <v>2469</v>
      </c>
      <c r="G783" s="13"/>
      <c r="H783" s="22">
        <v>0</v>
      </c>
      <c r="I783" s="9">
        <f t="shared" ca="1" si="25"/>
        <v>0.79666432227647432</v>
      </c>
    </row>
    <row r="784" spans="1:9" ht="15.75" customHeight="1" x14ac:dyDescent="0.15">
      <c r="A784" s="10">
        <f t="shared" si="24"/>
        <v>783</v>
      </c>
      <c r="B784" s="11" t="s">
        <v>36</v>
      </c>
      <c r="C784" s="10" t="s">
        <v>27</v>
      </c>
      <c r="D784" s="12" t="s">
        <v>2470</v>
      </c>
      <c r="E784" s="12" t="s">
        <v>2471</v>
      </c>
      <c r="F784" s="12" t="s">
        <v>2472</v>
      </c>
      <c r="G784" s="13"/>
      <c r="H784" s="22">
        <v>0</v>
      </c>
      <c r="I784" s="9">
        <f t="shared" ca="1" si="25"/>
        <v>0.89678768433647582</v>
      </c>
    </row>
    <row r="785" spans="1:9" ht="15.75" hidden="1" customHeight="1" x14ac:dyDescent="0.15">
      <c r="A785" s="10">
        <f t="shared" si="24"/>
        <v>784</v>
      </c>
      <c r="B785" s="10" t="s">
        <v>20</v>
      </c>
      <c r="C785" s="10" t="s">
        <v>16</v>
      </c>
      <c r="D785" s="12" t="s">
        <v>2473</v>
      </c>
      <c r="E785" s="13" t="s">
        <v>98</v>
      </c>
      <c r="F785" s="12" t="s">
        <v>2474</v>
      </c>
      <c r="G785" s="13"/>
      <c r="H785" s="22">
        <v>0</v>
      </c>
      <c r="I785" s="9">
        <f t="shared" ca="1" si="25"/>
        <v>0.1139359873294622</v>
      </c>
    </row>
    <row r="786" spans="1:9" ht="15.75" customHeight="1" x14ac:dyDescent="0.15">
      <c r="A786" s="10">
        <f t="shared" si="24"/>
        <v>785</v>
      </c>
      <c r="B786" s="12" t="s">
        <v>3253</v>
      </c>
      <c r="C786" s="10" t="s">
        <v>32</v>
      </c>
      <c r="D786" s="11" t="s">
        <v>2475</v>
      </c>
      <c r="E786" s="12" t="s">
        <v>286</v>
      </c>
      <c r="F786" s="11" t="s">
        <v>2476</v>
      </c>
      <c r="G786" s="13"/>
      <c r="H786" s="22">
        <v>0</v>
      </c>
      <c r="I786" s="9">
        <f t="shared" ca="1" si="25"/>
        <v>0.21903016451975232</v>
      </c>
    </row>
    <row r="787" spans="1:9" ht="15.75" customHeight="1" x14ac:dyDescent="0.15">
      <c r="A787" s="10">
        <f t="shared" si="24"/>
        <v>786</v>
      </c>
      <c r="B787" s="10" t="s">
        <v>20</v>
      </c>
      <c r="C787" s="10" t="s">
        <v>27</v>
      </c>
      <c r="D787" s="11" t="s">
        <v>2477</v>
      </c>
      <c r="E787" s="11" t="s">
        <v>2478</v>
      </c>
      <c r="F787" s="11" t="s">
        <v>2479</v>
      </c>
      <c r="G787" s="13"/>
      <c r="H787" s="22">
        <v>0</v>
      </c>
      <c r="I787" s="9">
        <f t="shared" ca="1" si="25"/>
        <v>0.5658969009008068</v>
      </c>
    </row>
    <row r="788" spans="1:9" ht="15.75" customHeight="1" x14ac:dyDescent="0.15">
      <c r="A788" s="10">
        <f t="shared" si="24"/>
        <v>787</v>
      </c>
      <c r="B788" s="12" t="s">
        <v>3253</v>
      </c>
      <c r="C788" s="10" t="s">
        <v>32</v>
      </c>
      <c r="D788" s="12" t="s">
        <v>2480</v>
      </c>
      <c r="E788" s="12" t="s">
        <v>174</v>
      </c>
      <c r="F788" s="11" t="s">
        <v>2481</v>
      </c>
      <c r="G788" s="13"/>
      <c r="H788" s="22">
        <v>0</v>
      </c>
      <c r="I788" s="9">
        <f t="shared" ca="1" si="25"/>
        <v>0.56646575736289795</v>
      </c>
    </row>
    <row r="789" spans="1:9" ht="15.75" customHeight="1" x14ac:dyDescent="0.15">
      <c r="A789" s="10">
        <f t="shared" si="24"/>
        <v>788</v>
      </c>
      <c r="B789" s="11" t="s">
        <v>36</v>
      </c>
      <c r="C789" s="10" t="s">
        <v>32</v>
      </c>
      <c r="D789" s="11" t="s">
        <v>2482</v>
      </c>
      <c r="E789" s="12" t="s">
        <v>286</v>
      </c>
      <c r="F789" s="11" t="s">
        <v>2483</v>
      </c>
      <c r="G789" s="13"/>
      <c r="H789" s="22">
        <v>0</v>
      </c>
      <c r="I789" s="9">
        <f t="shared" ca="1" si="25"/>
        <v>0.21198737808089296</v>
      </c>
    </row>
    <row r="790" spans="1:9" ht="15.75" customHeight="1" x14ac:dyDescent="0.15">
      <c r="A790" s="10">
        <f t="shared" si="24"/>
        <v>789</v>
      </c>
      <c r="B790" s="12" t="s">
        <v>3253</v>
      </c>
      <c r="C790" s="10" t="s">
        <v>21</v>
      </c>
      <c r="D790" s="11" t="s">
        <v>2484</v>
      </c>
      <c r="E790" s="13" t="s">
        <v>241</v>
      </c>
      <c r="F790" s="12" t="s">
        <v>2485</v>
      </c>
      <c r="G790" s="13"/>
      <c r="H790" s="22">
        <v>0</v>
      </c>
      <c r="I790" s="9">
        <f t="shared" ca="1" si="25"/>
        <v>0.62970042773879853</v>
      </c>
    </row>
    <row r="791" spans="1:9" ht="15.75" hidden="1" customHeight="1" x14ac:dyDescent="0.15">
      <c r="A791" s="10">
        <f t="shared" si="24"/>
        <v>790</v>
      </c>
      <c r="B791" s="12" t="s">
        <v>1266</v>
      </c>
      <c r="C791" s="10" t="s">
        <v>11</v>
      </c>
      <c r="D791" s="11" t="s">
        <v>2486</v>
      </c>
      <c r="E791" s="12" t="s">
        <v>2487</v>
      </c>
      <c r="F791" s="11" t="s">
        <v>2488</v>
      </c>
      <c r="G791" s="13"/>
      <c r="H791" s="22">
        <v>0</v>
      </c>
      <c r="I791" s="9">
        <f t="shared" ca="1" si="25"/>
        <v>0.85031013539029987</v>
      </c>
    </row>
    <row r="792" spans="1:9" ht="15.75" customHeight="1" x14ac:dyDescent="0.15">
      <c r="A792" s="10">
        <f t="shared" si="24"/>
        <v>791</v>
      </c>
      <c r="B792" s="10" t="s">
        <v>20</v>
      </c>
      <c r="C792" s="10" t="s">
        <v>32</v>
      </c>
      <c r="D792" s="11" t="s">
        <v>2489</v>
      </c>
      <c r="E792" s="12" t="s">
        <v>286</v>
      </c>
      <c r="F792" s="11" t="s">
        <v>2490</v>
      </c>
      <c r="G792" s="13"/>
      <c r="H792" s="22">
        <v>0</v>
      </c>
      <c r="I792" s="9">
        <f t="shared" ca="1" si="25"/>
        <v>0.15984347909025909</v>
      </c>
    </row>
    <row r="793" spans="1:9" ht="15.75" hidden="1" customHeight="1" x14ac:dyDescent="0.15">
      <c r="A793" s="10">
        <f t="shared" si="24"/>
        <v>792</v>
      </c>
      <c r="B793" s="12" t="s">
        <v>20</v>
      </c>
      <c r="C793" s="10" t="s">
        <v>16</v>
      </c>
      <c r="D793" s="12" t="s">
        <v>2491</v>
      </c>
      <c r="E793" s="13" t="s">
        <v>127</v>
      </c>
      <c r="F793" s="12" t="s">
        <v>2492</v>
      </c>
      <c r="G793" s="13"/>
      <c r="H793" s="14">
        <v>1</v>
      </c>
      <c r="I793" s="9">
        <f t="shared" ca="1" si="25"/>
        <v>0.70593152932486158</v>
      </c>
    </row>
    <row r="794" spans="1:9" ht="15.75" hidden="1" customHeight="1" x14ac:dyDescent="0.15">
      <c r="A794" s="10">
        <f t="shared" si="24"/>
        <v>793</v>
      </c>
      <c r="B794" s="11" t="s">
        <v>31</v>
      </c>
      <c r="C794" s="10" t="s">
        <v>16</v>
      </c>
      <c r="D794" s="11" t="s">
        <v>2493</v>
      </c>
      <c r="E794" s="13" t="s">
        <v>98</v>
      </c>
      <c r="F794" s="11" t="s">
        <v>2494</v>
      </c>
      <c r="G794" s="13"/>
      <c r="H794" s="22">
        <v>0</v>
      </c>
      <c r="I794" s="9">
        <f t="shared" ca="1" si="25"/>
        <v>0.94380930394398166</v>
      </c>
    </row>
    <row r="795" spans="1:9" ht="15.75" hidden="1" customHeight="1" x14ac:dyDescent="0.15">
      <c r="A795" s="10">
        <f t="shared" si="24"/>
        <v>794</v>
      </c>
      <c r="B795" s="11" t="s">
        <v>3253</v>
      </c>
      <c r="C795" s="10" t="s">
        <v>11</v>
      </c>
      <c r="D795" s="12" t="s">
        <v>2495</v>
      </c>
      <c r="E795" s="12" t="s">
        <v>2496</v>
      </c>
      <c r="F795" s="11" t="s">
        <v>2497</v>
      </c>
      <c r="G795" s="13"/>
      <c r="H795" s="22">
        <v>0</v>
      </c>
      <c r="I795" s="9">
        <f t="shared" ca="1" si="25"/>
        <v>0.88319875839886075</v>
      </c>
    </row>
    <row r="796" spans="1:9" ht="15.75" customHeight="1" x14ac:dyDescent="0.15">
      <c r="A796" s="10">
        <f t="shared" si="24"/>
        <v>795</v>
      </c>
      <c r="B796" s="10" t="s">
        <v>20</v>
      </c>
      <c r="C796" s="10" t="s">
        <v>21</v>
      </c>
      <c r="D796" s="11" t="s">
        <v>2498</v>
      </c>
      <c r="E796" s="13" t="s">
        <v>620</v>
      </c>
      <c r="F796" s="11" t="s">
        <v>2499</v>
      </c>
      <c r="G796" s="13"/>
      <c r="H796" s="22">
        <v>0</v>
      </c>
      <c r="I796" s="9">
        <f t="shared" ca="1" si="25"/>
        <v>0.56183914684531899</v>
      </c>
    </row>
    <row r="797" spans="1:9" ht="15.75" hidden="1" customHeight="1" x14ac:dyDescent="0.15">
      <c r="A797" s="10">
        <f t="shared" si="24"/>
        <v>796</v>
      </c>
      <c r="B797" s="11" t="s">
        <v>31</v>
      </c>
      <c r="C797" s="10" t="s">
        <v>16</v>
      </c>
      <c r="D797" s="11" t="s">
        <v>2500</v>
      </c>
      <c r="E797" s="13" t="s">
        <v>127</v>
      </c>
      <c r="F797" s="11" t="s">
        <v>2501</v>
      </c>
      <c r="G797" s="13"/>
      <c r="H797" s="22">
        <v>0</v>
      </c>
      <c r="I797" s="9">
        <f t="shared" ca="1" si="25"/>
        <v>0.68164493525991665</v>
      </c>
    </row>
    <row r="798" spans="1:9" ht="15.75" hidden="1" customHeight="1" x14ac:dyDescent="0.15">
      <c r="A798" s="10">
        <f t="shared" si="24"/>
        <v>797</v>
      </c>
      <c r="B798" s="12" t="s">
        <v>3253</v>
      </c>
      <c r="C798" s="10" t="s">
        <v>11</v>
      </c>
      <c r="D798" s="12" t="s">
        <v>2502</v>
      </c>
      <c r="E798" s="12" t="s">
        <v>2503</v>
      </c>
      <c r="F798" s="11" t="s">
        <v>2504</v>
      </c>
      <c r="G798" s="13"/>
      <c r="H798" s="22">
        <v>0</v>
      </c>
      <c r="I798" s="9">
        <f t="shared" ca="1" si="25"/>
        <v>0.49649830664989913</v>
      </c>
    </row>
    <row r="799" spans="1:9" ht="15.75" hidden="1" customHeight="1" x14ac:dyDescent="0.15">
      <c r="A799" s="10">
        <f t="shared" si="24"/>
        <v>798</v>
      </c>
      <c r="B799" s="11" t="s">
        <v>36</v>
      </c>
      <c r="C799" s="10" t="s">
        <v>11</v>
      </c>
      <c r="D799" s="12" t="s">
        <v>2505</v>
      </c>
      <c r="E799" s="12" t="s">
        <v>2506</v>
      </c>
      <c r="F799" s="11" t="s">
        <v>2507</v>
      </c>
      <c r="G799" s="13"/>
      <c r="H799" s="22">
        <v>0</v>
      </c>
      <c r="I799" s="9">
        <f t="shared" ca="1" si="25"/>
        <v>0.21735657560697119</v>
      </c>
    </row>
    <row r="800" spans="1:9" ht="15.75" hidden="1" customHeight="1" x14ac:dyDescent="0.15">
      <c r="A800" s="10">
        <f t="shared" si="24"/>
        <v>799</v>
      </c>
      <c r="B800" s="12" t="s">
        <v>3253</v>
      </c>
      <c r="C800" s="10" t="s">
        <v>11</v>
      </c>
      <c r="D800" s="12" t="s">
        <v>2508</v>
      </c>
      <c r="E800" s="12" t="s">
        <v>2509</v>
      </c>
      <c r="F800" s="11" t="s">
        <v>2510</v>
      </c>
      <c r="G800" s="13"/>
      <c r="H800" s="22">
        <v>0</v>
      </c>
      <c r="I800" s="9">
        <f t="shared" ca="1" si="25"/>
        <v>0.39909696315341048</v>
      </c>
    </row>
    <row r="801" spans="1:9" ht="15.75" customHeight="1" x14ac:dyDescent="0.15">
      <c r="A801" s="10">
        <f t="shared" si="24"/>
        <v>800</v>
      </c>
      <c r="B801" s="11" t="s">
        <v>36</v>
      </c>
      <c r="C801" s="10" t="s">
        <v>27</v>
      </c>
      <c r="D801" s="12" t="s">
        <v>2511</v>
      </c>
      <c r="E801" s="12" t="s">
        <v>2512</v>
      </c>
      <c r="F801" s="12" t="s">
        <v>2513</v>
      </c>
      <c r="G801" s="13"/>
      <c r="H801" s="22">
        <v>0</v>
      </c>
      <c r="I801" s="9">
        <f t="shared" ca="1" si="25"/>
        <v>0.50409371488061927</v>
      </c>
    </row>
    <row r="802" spans="1:9" ht="15.75" hidden="1" customHeight="1" x14ac:dyDescent="0.15">
      <c r="A802" s="10">
        <f t="shared" si="24"/>
        <v>801</v>
      </c>
      <c r="B802" s="12" t="s">
        <v>1266</v>
      </c>
      <c r="C802" s="10" t="s">
        <v>11</v>
      </c>
      <c r="D802" s="11" t="s">
        <v>2514</v>
      </c>
      <c r="E802" s="12" t="s">
        <v>2515</v>
      </c>
      <c r="F802" s="11" t="s">
        <v>2516</v>
      </c>
      <c r="G802" s="13"/>
      <c r="H802" s="22">
        <v>0</v>
      </c>
      <c r="I802" s="9">
        <f t="shared" ca="1" si="25"/>
        <v>0.83040455113320055</v>
      </c>
    </row>
    <row r="803" spans="1:9" ht="15.75" customHeight="1" x14ac:dyDescent="0.15">
      <c r="A803" s="10">
        <f t="shared" si="24"/>
        <v>802</v>
      </c>
      <c r="B803" s="12" t="s">
        <v>3253</v>
      </c>
      <c r="C803" s="10" t="s">
        <v>32</v>
      </c>
      <c r="D803" s="11" t="s">
        <v>2517</v>
      </c>
      <c r="E803" s="12" t="s">
        <v>286</v>
      </c>
      <c r="F803" s="11" t="s">
        <v>2518</v>
      </c>
      <c r="G803" s="13"/>
      <c r="H803" s="22">
        <v>0</v>
      </c>
      <c r="I803" s="9">
        <f t="shared" ca="1" si="25"/>
        <v>0.62151688516290537</v>
      </c>
    </row>
    <row r="804" spans="1:9" ht="15.75" hidden="1" customHeight="1" x14ac:dyDescent="0.15">
      <c r="A804" s="10">
        <f t="shared" si="24"/>
        <v>803</v>
      </c>
      <c r="B804" s="12" t="s">
        <v>1266</v>
      </c>
      <c r="C804" s="10" t="s">
        <v>16</v>
      </c>
      <c r="D804" s="12" t="s">
        <v>2519</v>
      </c>
      <c r="E804" s="13" t="s">
        <v>127</v>
      </c>
      <c r="F804" s="11" t="s">
        <v>2520</v>
      </c>
      <c r="G804" s="13"/>
      <c r="H804" s="22">
        <v>0</v>
      </c>
      <c r="I804" s="9">
        <f t="shared" ca="1" si="25"/>
        <v>0.88719267959800341</v>
      </c>
    </row>
    <row r="805" spans="1:9" ht="15.75" customHeight="1" x14ac:dyDescent="0.15">
      <c r="A805" s="10">
        <f t="shared" si="24"/>
        <v>804</v>
      </c>
      <c r="B805" s="11" t="s">
        <v>31</v>
      </c>
      <c r="C805" s="10" t="s">
        <v>21</v>
      </c>
      <c r="D805" s="12" t="s">
        <v>2521</v>
      </c>
      <c r="E805" s="13" t="s">
        <v>136</v>
      </c>
      <c r="F805" s="12" t="s">
        <v>2522</v>
      </c>
      <c r="G805" s="13"/>
      <c r="H805" s="22">
        <v>0</v>
      </c>
      <c r="I805" s="9">
        <f t="shared" ca="1" si="25"/>
        <v>0.28216384249854254</v>
      </c>
    </row>
    <row r="806" spans="1:9" ht="15.75" customHeight="1" x14ac:dyDescent="0.15">
      <c r="A806" s="10">
        <f t="shared" si="24"/>
        <v>805</v>
      </c>
      <c r="B806" s="12" t="s">
        <v>3253</v>
      </c>
      <c r="C806" s="10" t="s">
        <v>27</v>
      </c>
      <c r="D806" s="11" t="s">
        <v>2523</v>
      </c>
      <c r="E806" s="11" t="s">
        <v>2524</v>
      </c>
      <c r="F806" s="11" t="s">
        <v>2525</v>
      </c>
      <c r="G806" s="13"/>
      <c r="H806" s="14">
        <v>1</v>
      </c>
      <c r="I806" s="9">
        <f t="shared" ca="1" si="25"/>
        <v>0.65727738074698927</v>
      </c>
    </row>
    <row r="807" spans="1:9" ht="15.75" hidden="1" customHeight="1" x14ac:dyDescent="0.15">
      <c r="A807" s="10">
        <f t="shared" si="24"/>
        <v>806</v>
      </c>
      <c r="B807" s="10" t="s">
        <v>3253</v>
      </c>
      <c r="C807" s="10" t="s">
        <v>16</v>
      </c>
      <c r="D807" s="12" t="s">
        <v>2526</v>
      </c>
      <c r="E807" s="13" t="s">
        <v>98</v>
      </c>
      <c r="F807" s="12" t="s">
        <v>2527</v>
      </c>
      <c r="G807" s="13"/>
      <c r="H807" s="14">
        <v>1</v>
      </c>
      <c r="I807" s="9">
        <f t="shared" ca="1" si="25"/>
        <v>0.25792926364280222</v>
      </c>
    </row>
    <row r="808" spans="1:9" ht="15.75" customHeight="1" x14ac:dyDescent="0.15">
      <c r="A808" s="10">
        <f t="shared" si="24"/>
        <v>807</v>
      </c>
      <c r="B808" s="11" t="s">
        <v>36</v>
      </c>
      <c r="C808" s="10" t="s">
        <v>21</v>
      </c>
      <c r="D808" s="11" t="s">
        <v>2528</v>
      </c>
      <c r="E808" s="13" t="s">
        <v>134</v>
      </c>
      <c r="F808" s="12" t="s">
        <v>2529</v>
      </c>
      <c r="G808" s="13"/>
      <c r="H808" s="22">
        <v>0</v>
      </c>
      <c r="I808" s="9">
        <f t="shared" ca="1" si="25"/>
        <v>0.97909643659211232</v>
      </c>
    </row>
    <row r="809" spans="1:9" ht="15.75" hidden="1" customHeight="1" x14ac:dyDescent="0.15">
      <c r="A809" s="10">
        <f t="shared" si="24"/>
        <v>808</v>
      </c>
      <c r="B809" s="11" t="s">
        <v>36</v>
      </c>
      <c r="C809" s="10" t="s">
        <v>16</v>
      </c>
      <c r="D809" s="12" t="s">
        <v>2530</v>
      </c>
      <c r="E809" s="13" t="s">
        <v>98</v>
      </c>
      <c r="F809" s="12" t="s">
        <v>2531</v>
      </c>
      <c r="G809" s="13"/>
      <c r="H809" s="22">
        <v>0</v>
      </c>
      <c r="I809" s="9">
        <f t="shared" ca="1" si="25"/>
        <v>0.1915180687745035</v>
      </c>
    </row>
    <row r="810" spans="1:9" ht="15.75" hidden="1" customHeight="1" x14ac:dyDescent="0.15">
      <c r="A810" s="10">
        <f t="shared" si="24"/>
        <v>809</v>
      </c>
      <c r="B810" s="11" t="s">
        <v>36</v>
      </c>
      <c r="C810" s="10" t="s">
        <v>11</v>
      </c>
      <c r="D810" s="12" t="s">
        <v>2532</v>
      </c>
      <c r="E810" s="12" t="s">
        <v>2533</v>
      </c>
      <c r="F810" s="11" t="s">
        <v>2534</v>
      </c>
      <c r="G810" s="13"/>
      <c r="H810" s="22">
        <v>0</v>
      </c>
      <c r="I810" s="9">
        <f t="shared" ca="1" si="25"/>
        <v>0.88000712549808247</v>
      </c>
    </row>
    <row r="811" spans="1:9" ht="15.75" hidden="1" customHeight="1" x14ac:dyDescent="0.15">
      <c r="A811" s="10">
        <f t="shared" si="24"/>
        <v>810</v>
      </c>
      <c r="B811" s="10" t="s">
        <v>20</v>
      </c>
      <c r="C811" s="10" t="s">
        <v>11</v>
      </c>
      <c r="D811" s="12" t="s">
        <v>2535</v>
      </c>
      <c r="E811" s="12" t="s">
        <v>2536</v>
      </c>
      <c r="F811" s="11" t="s">
        <v>2537</v>
      </c>
      <c r="G811" s="13"/>
      <c r="H811" s="22">
        <v>0</v>
      </c>
      <c r="I811" s="9">
        <f t="shared" ca="1" si="25"/>
        <v>0.63359147948051742</v>
      </c>
    </row>
    <row r="812" spans="1:9" ht="15.75" customHeight="1" x14ac:dyDescent="0.15">
      <c r="A812" s="10">
        <f t="shared" si="24"/>
        <v>811</v>
      </c>
      <c r="B812" s="10" t="s">
        <v>20</v>
      </c>
      <c r="C812" s="10" t="s">
        <v>32</v>
      </c>
      <c r="D812" s="11" t="s">
        <v>2538</v>
      </c>
      <c r="E812" s="12" t="s">
        <v>286</v>
      </c>
      <c r="F812" s="11" t="s">
        <v>2539</v>
      </c>
      <c r="G812" s="13"/>
      <c r="H812" s="22">
        <v>0</v>
      </c>
      <c r="I812" s="9">
        <f t="shared" ca="1" si="25"/>
        <v>0.597758240486986</v>
      </c>
    </row>
    <row r="813" spans="1:9" ht="15.75" customHeight="1" x14ac:dyDescent="0.15">
      <c r="A813" s="10">
        <f t="shared" si="24"/>
        <v>812</v>
      </c>
      <c r="B813" s="11" t="s">
        <v>36</v>
      </c>
      <c r="C813" s="10" t="s">
        <v>21</v>
      </c>
      <c r="D813" s="11" t="s">
        <v>2540</v>
      </c>
      <c r="E813" s="13" t="s">
        <v>1187</v>
      </c>
      <c r="F813" s="12" t="s">
        <v>2541</v>
      </c>
      <c r="G813" s="13"/>
      <c r="H813" s="22">
        <v>0</v>
      </c>
      <c r="I813" s="9">
        <f t="shared" ca="1" si="25"/>
        <v>0.47468537835190816</v>
      </c>
    </row>
    <row r="814" spans="1:9" ht="15.75" customHeight="1" x14ac:dyDescent="0.15">
      <c r="A814" s="10">
        <f t="shared" si="24"/>
        <v>813</v>
      </c>
      <c r="B814" s="11" t="s">
        <v>36</v>
      </c>
      <c r="C814" s="10" t="s">
        <v>32</v>
      </c>
      <c r="D814" s="11" t="s">
        <v>2542</v>
      </c>
      <c r="E814" s="12" t="s">
        <v>286</v>
      </c>
      <c r="F814" s="11" t="s">
        <v>2543</v>
      </c>
      <c r="G814" s="13"/>
      <c r="H814" s="22">
        <v>0</v>
      </c>
      <c r="I814" s="9">
        <f t="shared" ca="1" si="25"/>
        <v>0.36887056239645177</v>
      </c>
    </row>
    <row r="815" spans="1:9" ht="15.75" customHeight="1" x14ac:dyDescent="0.15">
      <c r="A815" s="10">
        <f t="shared" si="24"/>
        <v>814</v>
      </c>
      <c r="B815" s="12" t="s">
        <v>1266</v>
      </c>
      <c r="C815" s="10" t="s">
        <v>21</v>
      </c>
      <c r="D815" s="12" t="s">
        <v>2544</v>
      </c>
      <c r="E815" s="13" t="s">
        <v>241</v>
      </c>
      <c r="F815" s="12" t="s">
        <v>2545</v>
      </c>
      <c r="G815" s="13"/>
      <c r="H815" s="22">
        <v>0</v>
      </c>
      <c r="I815" s="9">
        <f t="shared" ca="1" si="25"/>
        <v>0.54407970990275067</v>
      </c>
    </row>
    <row r="816" spans="1:9" ht="15.75" hidden="1" customHeight="1" x14ac:dyDescent="0.15">
      <c r="A816" s="10">
        <f t="shared" si="24"/>
        <v>815</v>
      </c>
      <c r="B816" s="12" t="s">
        <v>3253</v>
      </c>
      <c r="C816" s="10" t="s">
        <v>16</v>
      </c>
      <c r="D816" s="12" t="s">
        <v>2546</v>
      </c>
      <c r="E816" s="13" t="s">
        <v>98</v>
      </c>
      <c r="F816" s="12" t="s">
        <v>2547</v>
      </c>
      <c r="G816" s="13"/>
      <c r="H816" s="22">
        <v>0</v>
      </c>
      <c r="I816" s="9">
        <f t="shared" ca="1" si="25"/>
        <v>0.8553371018281124</v>
      </c>
    </row>
    <row r="817" spans="1:9" ht="15.75" customHeight="1" x14ac:dyDescent="0.15">
      <c r="A817" s="10">
        <f t="shared" si="24"/>
        <v>816</v>
      </c>
      <c r="B817" s="11" t="s">
        <v>36</v>
      </c>
      <c r="C817" s="10" t="s">
        <v>27</v>
      </c>
      <c r="D817" s="12" t="s">
        <v>2548</v>
      </c>
      <c r="E817" s="12" t="s">
        <v>2549</v>
      </c>
      <c r="F817" s="12" t="s">
        <v>2550</v>
      </c>
      <c r="G817" s="13"/>
      <c r="H817" s="22">
        <v>0</v>
      </c>
      <c r="I817" s="9">
        <f t="shared" ca="1" si="25"/>
        <v>0.77866816853872822</v>
      </c>
    </row>
    <row r="818" spans="1:9" ht="15.75" customHeight="1" x14ac:dyDescent="0.15">
      <c r="A818" s="10">
        <f t="shared" si="24"/>
        <v>817</v>
      </c>
      <c r="B818" s="11" t="s">
        <v>31</v>
      </c>
      <c r="C818" s="10" t="s">
        <v>27</v>
      </c>
      <c r="D818" s="12" t="s">
        <v>2551</v>
      </c>
      <c r="E818" s="12" t="s">
        <v>2552</v>
      </c>
      <c r="F818" s="12" t="s">
        <v>2553</v>
      </c>
      <c r="G818" s="13"/>
      <c r="H818" s="22">
        <v>0</v>
      </c>
      <c r="I818" s="9">
        <f t="shared" ca="1" si="25"/>
        <v>0.50620755147370766</v>
      </c>
    </row>
    <row r="819" spans="1:9" ht="15.75" customHeight="1" x14ac:dyDescent="0.15">
      <c r="A819" s="10">
        <f t="shared" si="24"/>
        <v>818</v>
      </c>
      <c r="B819" s="11" t="s">
        <v>36</v>
      </c>
      <c r="C819" s="10" t="s">
        <v>21</v>
      </c>
      <c r="D819" s="12" t="s">
        <v>2554</v>
      </c>
      <c r="E819" s="13" t="s">
        <v>620</v>
      </c>
      <c r="F819" s="12" t="s">
        <v>2555</v>
      </c>
      <c r="G819" s="13"/>
      <c r="H819" s="22">
        <v>0</v>
      </c>
      <c r="I819" s="9">
        <f t="shared" ca="1" si="25"/>
        <v>0.73372437108277788</v>
      </c>
    </row>
    <row r="820" spans="1:9" ht="15.75" hidden="1" customHeight="1" x14ac:dyDescent="0.15">
      <c r="A820" s="10">
        <f t="shared" si="24"/>
        <v>819</v>
      </c>
      <c r="B820" s="12" t="s">
        <v>1266</v>
      </c>
      <c r="C820" s="10" t="s">
        <v>11</v>
      </c>
      <c r="D820" s="11" t="s">
        <v>2556</v>
      </c>
      <c r="E820" s="12" t="s">
        <v>2557</v>
      </c>
      <c r="F820" s="11" t="s">
        <v>2558</v>
      </c>
      <c r="G820" s="13"/>
      <c r="H820" s="22">
        <v>0</v>
      </c>
      <c r="I820" s="9">
        <f t="shared" ca="1" si="25"/>
        <v>0.6414209870910621</v>
      </c>
    </row>
    <row r="821" spans="1:9" ht="15.75" hidden="1" customHeight="1" x14ac:dyDescent="0.15">
      <c r="A821" s="10">
        <f t="shared" si="24"/>
        <v>820</v>
      </c>
      <c r="B821" s="11" t="s">
        <v>36</v>
      </c>
      <c r="C821" s="10" t="s">
        <v>16</v>
      </c>
      <c r="D821" s="11" t="s">
        <v>2559</v>
      </c>
      <c r="E821" s="13" t="s">
        <v>159</v>
      </c>
      <c r="F821" s="11" t="s">
        <v>2560</v>
      </c>
      <c r="G821" s="13"/>
      <c r="H821" s="22">
        <v>0</v>
      </c>
      <c r="I821" s="9">
        <f t="shared" ca="1" si="25"/>
        <v>0.54374721216845723</v>
      </c>
    </row>
    <row r="822" spans="1:9" ht="15.75" customHeight="1" x14ac:dyDescent="0.15">
      <c r="A822" s="10">
        <f t="shared" si="24"/>
        <v>821</v>
      </c>
      <c r="B822" s="11" t="s">
        <v>36</v>
      </c>
      <c r="C822" s="10" t="s">
        <v>32</v>
      </c>
      <c r="D822" s="11" t="s">
        <v>2561</v>
      </c>
      <c r="E822" s="12" t="s">
        <v>286</v>
      </c>
      <c r="F822" s="11" t="s">
        <v>2562</v>
      </c>
      <c r="G822" s="13"/>
      <c r="H822" s="22">
        <v>0</v>
      </c>
      <c r="I822" s="9">
        <f t="shared" ca="1" si="25"/>
        <v>9.9901875174830734E-2</v>
      </c>
    </row>
    <row r="823" spans="1:9" ht="15.75" hidden="1" customHeight="1" x14ac:dyDescent="0.15">
      <c r="A823" s="10">
        <f t="shared" si="24"/>
        <v>822</v>
      </c>
      <c r="B823" s="10" t="s">
        <v>20</v>
      </c>
      <c r="C823" s="10" t="s">
        <v>11</v>
      </c>
      <c r="D823" s="12" t="s">
        <v>2563</v>
      </c>
      <c r="E823" s="12" t="s">
        <v>2564</v>
      </c>
      <c r="F823" s="11" t="s">
        <v>2565</v>
      </c>
      <c r="G823" s="13"/>
      <c r="H823" s="22">
        <v>0</v>
      </c>
      <c r="I823" s="9">
        <f t="shared" ca="1" si="25"/>
        <v>0.9071342854441995</v>
      </c>
    </row>
    <row r="824" spans="1:9" ht="15.75" hidden="1" customHeight="1" x14ac:dyDescent="0.15">
      <c r="A824" s="10">
        <f t="shared" si="24"/>
        <v>823</v>
      </c>
      <c r="B824" s="11" t="s">
        <v>36</v>
      </c>
      <c r="C824" s="10" t="s">
        <v>11</v>
      </c>
      <c r="D824" s="12" t="s">
        <v>2566</v>
      </c>
      <c r="E824" s="12" t="s">
        <v>2567</v>
      </c>
      <c r="F824" s="11" t="s">
        <v>2568</v>
      </c>
      <c r="G824" s="13"/>
      <c r="H824" s="22">
        <v>0</v>
      </c>
      <c r="I824" s="9">
        <f t="shared" ca="1" si="25"/>
        <v>0.26123619118893915</v>
      </c>
    </row>
    <row r="825" spans="1:9" ht="15.75" hidden="1" customHeight="1" x14ac:dyDescent="0.15">
      <c r="A825" s="10">
        <f t="shared" si="24"/>
        <v>824</v>
      </c>
      <c r="B825" s="11" t="s">
        <v>3253</v>
      </c>
      <c r="C825" s="10" t="s">
        <v>16</v>
      </c>
      <c r="D825" s="12" t="s">
        <v>2569</v>
      </c>
      <c r="E825" s="13" t="s">
        <v>106</v>
      </c>
      <c r="F825" s="12" t="s">
        <v>2570</v>
      </c>
      <c r="G825" s="13"/>
      <c r="H825" s="22">
        <v>0</v>
      </c>
      <c r="I825" s="9">
        <f t="shared" ca="1" si="25"/>
        <v>0.86964425032249659</v>
      </c>
    </row>
    <row r="826" spans="1:9" ht="15.75" hidden="1" customHeight="1" x14ac:dyDescent="0.15">
      <c r="A826" s="10">
        <f t="shared" si="24"/>
        <v>825</v>
      </c>
      <c r="B826" s="12" t="s">
        <v>1266</v>
      </c>
      <c r="C826" s="10" t="s">
        <v>16</v>
      </c>
      <c r="D826" s="11" t="s">
        <v>2571</v>
      </c>
      <c r="E826" s="13" t="s">
        <v>98</v>
      </c>
      <c r="F826" s="11" t="s">
        <v>2572</v>
      </c>
      <c r="G826" s="13"/>
      <c r="H826" s="14">
        <v>1</v>
      </c>
      <c r="I826" s="9">
        <f t="shared" ca="1" si="25"/>
        <v>0.31251845209915297</v>
      </c>
    </row>
    <row r="827" spans="1:9" ht="15.75" customHeight="1" x14ac:dyDescent="0.15">
      <c r="A827" s="10">
        <f t="shared" si="24"/>
        <v>826</v>
      </c>
      <c r="B827" s="11" t="s">
        <v>31</v>
      </c>
      <c r="C827" s="10" t="s">
        <v>21</v>
      </c>
      <c r="D827" s="11" t="s">
        <v>2573</v>
      </c>
      <c r="E827" s="13" t="s">
        <v>1187</v>
      </c>
      <c r="F827" s="11" t="s">
        <v>2574</v>
      </c>
      <c r="G827" s="13"/>
      <c r="H827" s="22">
        <v>0</v>
      </c>
      <c r="I827" s="9">
        <f t="shared" ca="1" si="25"/>
        <v>0.1615162538721665</v>
      </c>
    </row>
    <row r="828" spans="1:9" ht="15.75" customHeight="1" x14ac:dyDescent="0.15">
      <c r="A828" s="10">
        <f t="shared" si="24"/>
        <v>827</v>
      </c>
      <c r="B828" s="11" t="s">
        <v>36</v>
      </c>
      <c r="C828" s="10" t="s">
        <v>27</v>
      </c>
      <c r="D828" s="12" t="s">
        <v>2575</v>
      </c>
      <c r="E828" s="12" t="s">
        <v>2576</v>
      </c>
      <c r="F828" s="12" t="s">
        <v>2577</v>
      </c>
      <c r="G828" s="13"/>
      <c r="H828" s="22">
        <v>0</v>
      </c>
      <c r="I828" s="9">
        <f t="shared" ca="1" si="25"/>
        <v>0.33340524817857398</v>
      </c>
    </row>
    <row r="829" spans="1:9" ht="15.75" customHeight="1" x14ac:dyDescent="0.15">
      <c r="A829" s="10">
        <f t="shared" si="24"/>
        <v>828</v>
      </c>
      <c r="B829" s="12" t="s">
        <v>3253</v>
      </c>
      <c r="C829" s="10" t="s">
        <v>32</v>
      </c>
      <c r="D829" s="12" t="s">
        <v>2578</v>
      </c>
      <c r="E829" s="12" t="s">
        <v>286</v>
      </c>
      <c r="F829" s="11" t="s">
        <v>2579</v>
      </c>
      <c r="G829" s="13"/>
      <c r="H829" s="22">
        <v>0</v>
      </c>
      <c r="I829" s="9">
        <f t="shared" ca="1" si="25"/>
        <v>0.97293844223770265</v>
      </c>
    </row>
    <row r="830" spans="1:9" ht="15.75" customHeight="1" x14ac:dyDescent="0.15">
      <c r="A830" s="10">
        <f t="shared" si="24"/>
        <v>829</v>
      </c>
      <c r="B830" s="11" t="s">
        <v>36</v>
      </c>
      <c r="C830" s="10" t="s">
        <v>21</v>
      </c>
      <c r="D830" s="12" t="s">
        <v>2580</v>
      </c>
      <c r="E830" s="13" t="s">
        <v>1187</v>
      </c>
      <c r="F830" s="12" t="s">
        <v>2581</v>
      </c>
      <c r="G830" s="13"/>
      <c r="H830" s="22">
        <v>0</v>
      </c>
      <c r="I830" s="9">
        <f t="shared" ca="1" si="25"/>
        <v>0.3528349651764312</v>
      </c>
    </row>
    <row r="831" spans="1:9" ht="15.75" customHeight="1" x14ac:dyDescent="0.15">
      <c r="A831" s="10">
        <f t="shared" si="24"/>
        <v>830</v>
      </c>
      <c r="B831" s="10" t="s">
        <v>20</v>
      </c>
      <c r="C831" s="10" t="s">
        <v>32</v>
      </c>
      <c r="D831" s="11" t="s">
        <v>2582</v>
      </c>
      <c r="E831" s="12" t="s">
        <v>174</v>
      </c>
      <c r="F831" s="11" t="s">
        <v>2583</v>
      </c>
      <c r="G831" s="13"/>
      <c r="H831" s="22">
        <v>0</v>
      </c>
      <c r="I831" s="9">
        <f t="shared" ca="1" si="25"/>
        <v>0.6391178555470981</v>
      </c>
    </row>
    <row r="832" spans="1:9" ht="15.75" customHeight="1" x14ac:dyDescent="0.15">
      <c r="A832" s="10">
        <f t="shared" si="24"/>
        <v>831</v>
      </c>
      <c r="B832" s="12" t="s">
        <v>1266</v>
      </c>
      <c r="C832" s="10" t="s">
        <v>32</v>
      </c>
      <c r="D832" s="11" t="s">
        <v>2584</v>
      </c>
      <c r="E832" s="12" t="s">
        <v>286</v>
      </c>
      <c r="F832" s="11" t="s">
        <v>2585</v>
      </c>
      <c r="G832" s="13"/>
      <c r="H832" s="22">
        <v>0</v>
      </c>
      <c r="I832" s="9">
        <f t="shared" ca="1" si="25"/>
        <v>0.78830333137774333</v>
      </c>
    </row>
    <row r="833" spans="1:9" ht="15.75" customHeight="1" x14ac:dyDescent="0.15">
      <c r="A833" s="10">
        <f t="shared" si="24"/>
        <v>832</v>
      </c>
      <c r="B833" s="12" t="s">
        <v>3253</v>
      </c>
      <c r="C833" s="10" t="s">
        <v>27</v>
      </c>
      <c r="D833" s="12" t="s">
        <v>2586</v>
      </c>
      <c r="E833" s="12" t="s">
        <v>2587</v>
      </c>
      <c r="F833" s="12" t="s">
        <v>2588</v>
      </c>
      <c r="G833" s="13"/>
      <c r="H833" s="22">
        <v>0</v>
      </c>
      <c r="I833" s="9">
        <f t="shared" ca="1" si="25"/>
        <v>0.15743662160946303</v>
      </c>
    </row>
    <row r="834" spans="1:9" ht="15.75" hidden="1" customHeight="1" x14ac:dyDescent="0.15">
      <c r="A834" s="10">
        <f t="shared" si="24"/>
        <v>833</v>
      </c>
      <c r="B834" s="12" t="s">
        <v>1266</v>
      </c>
      <c r="C834" s="10" t="s">
        <v>11</v>
      </c>
      <c r="D834" s="11" t="s">
        <v>2589</v>
      </c>
      <c r="E834" s="12" t="s">
        <v>2590</v>
      </c>
      <c r="F834" s="11" t="s">
        <v>2591</v>
      </c>
      <c r="G834" s="13"/>
      <c r="H834" s="22">
        <v>0</v>
      </c>
      <c r="I834" s="9">
        <f t="shared" ca="1" si="25"/>
        <v>0.48686108433072295</v>
      </c>
    </row>
    <row r="835" spans="1:9" ht="15.75" customHeight="1" x14ac:dyDescent="0.15">
      <c r="A835" s="10">
        <f t="shared" ref="A835:A898" si="26">ROW() - 1</f>
        <v>834</v>
      </c>
      <c r="B835" s="10" t="s">
        <v>20</v>
      </c>
      <c r="C835" s="10" t="s">
        <v>32</v>
      </c>
      <c r="D835" s="11" t="s">
        <v>2592</v>
      </c>
      <c r="E835" s="12" t="s">
        <v>174</v>
      </c>
      <c r="F835" s="11" t="s">
        <v>2593</v>
      </c>
      <c r="G835" s="13"/>
      <c r="H835" s="22">
        <v>0</v>
      </c>
      <c r="I835" s="9">
        <f t="shared" ca="1" si="25"/>
        <v>0.9928575489240965</v>
      </c>
    </row>
    <row r="836" spans="1:9" ht="15.75" customHeight="1" x14ac:dyDescent="0.15">
      <c r="A836" s="10">
        <f t="shared" si="26"/>
        <v>835</v>
      </c>
      <c r="B836" s="11" t="s">
        <v>36</v>
      </c>
      <c r="C836" s="10" t="s">
        <v>21</v>
      </c>
      <c r="D836" s="11" t="s">
        <v>2594</v>
      </c>
      <c r="E836" s="13" t="s">
        <v>141</v>
      </c>
      <c r="F836" s="11" t="s">
        <v>2595</v>
      </c>
      <c r="G836" s="13"/>
      <c r="H836" s="22">
        <v>0</v>
      </c>
      <c r="I836" s="9">
        <f t="shared" ref="I836:I899" ca="1" si="27">RAND()</f>
        <v>0.28727708795922979</v>
      </c>
    </row>
    <row r="837" spans="1:9" ht="15.75" customHeight="1" x14ac:dyDescent="0.15">
      <c r="A837" s="10">
        <f t="shared" si="26"/>
        <v>836</v>
      </c>
      <c r="B837" s="11" t="s">
        <v>31</v>
      </c>
      <c r="C837" s="10" t="s">
        <v>32</v>
      </c>
      <c r="D837" s="11" t="s">
        <v>2596</v>
      </c>
      <c r="E837" s="12" t="s">
        <v>174</v>
      </c>
      <c r="F837" s="11" t="s">
        <v>2597</v>
      </c>
      <c r="G837" s="13"/>
      <c r="H837" s="22">
        <v>0</v>
      </c>
      <c r="I837" s="9">
        <f t="shared" ca="1" si="27"/>
        <v>0.4984144299393245</v>
      </c>
    </row>
    <row r="838" spans="1:9" ht="15.75" customHeight="1" x14ac:dyDescent="0.15">
      <c r="A838" s="10">
        <f t="shared" si="26"/>
        <v>837</v>
      </c>
      <c r="B838" s="11" t="s">
        <v>36</v>
      </c>
      <c r="C838" s="10" t="s">
        <v>21</v>
      </c>
      <c r="D838" s="12" t="s">
        <v>2598</v>
      </c>
      <c r="E838" s="13" t="s">
        <v>134</v>
      </c>
      <c r="F838" s="12" t="s">
        <v>2599</v>
      </c>
      <c r="G838" s="13"/>
      <c r="H838" s="22">
        <v>0</v>
      </c>
      <c r="I838" s="9">
        <f t="shared" ca="1" si="27"/>
        <v>0.11419166368623623</v>
      </c>
    </row>
    <row r="839" spans="1:9" ht="15.75" customHeight="1" x14ac:dyDescent="0.15">
      <c r="A839" s="10">
        <f t="shared" si="26"/>
        <v>838</v>
      </c>
      <c r="B839" s="12" t="s">
        <v>1266</v>
      </c>
      <c r="C839" s="10" t="s">
        <v>32</v>
      </c>
      <c r="D839" s="11" t="s">
        <v>2600</v>
      </c>
      <c r="E839" s="12" t="s">
        <v>286</v>
      </c>
      <c r="F839" s="11" t="s">
        <v>2601</v>
      </c>
      <c r="G839" s="13"/>
      <c r="H839" s="22">
        <v>0</v>
      </c>
      <c r="I839" s="9">
        <f t="shared" ca="1" si="27"/>
        <v>0.53096868716707735</v>
      </c>
    </row>
    <row r="840" spans="1:9" ht="15.75" hidden="1" customHeight="1" x14ac:dyDescent="0.15">
      <c r="A840" s="10">
        <f t="shared" si="26"/>
        <v>839</v>
      </c>
      <c r="B840" s="12" t="s">
        <v>3253</v>
      </c>
      <c r="C840" s="10" t="s">
        <v>11</v>
      </c>
      <c r="D840" s="12" t="s">
        <v>2602</v>
      </c>
      <c r="E840" s="12" t="s">
        <v>2603</v>
      </c>
      <c r="F840" s="11" t="s">
        <v>1662</v>
      </c>
      <c r="G840" s="13"/>
      <c r="H840" s="22">
        <v>0</v>
      </c>
      <c r="I840" s="9">
        <f t="shared" ca="1" si="27"/>
        <v>0.46107540739748298</v>
      </c>
    </row>
    <row r="841" spans="1:9" ht="15.75" customHeight="1" x14ac:dyDescent="0.15">
      <c r="A841" s="10">
        <f t="shared" si="26"/>
        <v>840</v>
      </c>
      <c r="B841" s="11" t="s">
        <v>36</v>
      </c>
      <c r="C841" s="10" t="s">
        <v>32</v>
      </c>
      <c r="D841" s="11" t="s">
        <v>2604</v>
      </c>
      <c r="E841" s="12" t="s">
        <v>286</v>
      </c>
      <c r="F841" s="11" t="s">
        <v>2605</v>
      </c>
      <c r="G841" s="13"/>
      <c r="H841" s="22">
        <v>0</v>
      </c>
      <c r="I841" s="9">
        <f t="shared" ca="1" si="27"/>
        <v>0.32917642746264364</v>
      </c>
    </row>
    <row r="842" spans="1:9" ht="15.75" hidden="1" customHeight="1" x14ac:dyDescent="0.15">
      <c r="A842" s="10">
        <f t="shared" si="26"/>
        <v>841</v>
      </c>
      <c r="B842" s="10" t="s">
        <v>20</v>
      </c>
      <c r="C842" s="10" t="s">
        <v>16</v>
      </c>
      <c r="D842" s="12" t="s">
        <v>2606</v>
      </c>
      <c r="E842" s="13" t="s">
        <v>159</v>
      </c>
      <c r="F842" s="12" t="s">
        <v>2607</v>
      </c>
      <c r="G842" s="13"/>
      <c r="H842" s="22">
        <v>0</v>
      </c>
      <c r="I842" s="9">
        <f t="shared" ca="1" si="27"/>
        <v>0.69386661875008848</v>
      </c>
    </row>
    <row r="843" spans="1:9" ht="15.75" hidden="1" customHeight="1" x14ac:dyDescent="0.15">
      <c r="A843" s="10">
        <f t="shared" si="26"/>
        <v>842</v>
      </c>
      <c r="B843" s="11" t="s">
        <v>36</v>
      </c>
      <c r="C843" s="10" t="s">
        <v>11</v>
      </c>
      <c r="D843" s="11" t="s">
        <v>2608</v>
      </c>
      <c r="E843" s="12" t="s">
        <v>2609</v>
      </c>
      <c r="F843" s="11" t="s">
        <v>2610</v>
      </c>
      <c r="G843" s="13"/>
      <c r="H843" s="22">
        <v>0</v>
      </c>
      <c r="I843" s="9">
        <f t="shared" ca="1" si="27"/>
        <v>0.88158889828427822</v>
      </c>
    </row>
    <row r="844" spans="1:9" ht="15.75" hidden="1" customHeight="1" x14ac:dyDescent="0.15">
      <c r="A844" s="10">
        <f t="shared" si="26"/>
        <v>843</v>
      </c>
      <c r="B844" s="11" t="s">
        <v>36</v>
      </c>
      <c r="C844" s="10" t="s">
        <v>11</v>
      </c>
      <c r="D844" s="11" t="s">
        <v>2611</v>
      </c>
      <c r="E844" s="12" t="s">
        <v>2612</v>
      </c>
      <c r="F844" s="11" t="s">
        <v>2613</v>
      </c>
      <c r="G844" s="13"/>
      <c r="H844" s="22">
        <v>0</v>
      </c>
      <c r="I844" s="9">
        <f t="shared" ca="1" si="27"/>
        <v>0.68956652764061366</v>
      </c>
    </row>
    <row r="845" spans="1:9" ht="15.75" customHeight="1" x14ac:dyDescent="0.15">
      <c r="A845" s="10">
        <f t="shared" si="26"/>
        <v>844</v>
      </c>
      <c r="B845" s="12" t="s">
        <v>3253</v>
      </c>
      <c r="C845" s="10" t="s">
        <v>27</v>
      </c>
      <c r="D845" s="11" t="s">
        <v>2614</v>
      </c>
      <c r="E845" s="11" t="s">
        <v>2615</v>
      </c>
      <c r="F845" s="11" t="s">
        <v>2616</v>
      </c>
      <c r="G845" s="13"/>
      <c r="H845" s="22">
        <v>0</v>
      </c>
      <c r="I845" s="9">
        <f t="shared" ca="1" si="27"/>
        <v>0.46391001663132658</v>
      </c>
    </row>
    <row r="846" spans="1:9" ht="15.75" customHeight="1" x14ac:dyDescent="0.15">
      <c r="A846" s="10">
        <f t="shared" si="26"/>
        <v>845</v>
      </c>
      <c r="B846" s="11" t="s">
        <v>31</v>
      </c>
      <c r="C846" s="10" t="s">
        <v>27</v>
      </c>
      <c r="D846" s="12" t="s">
        <v>2617</v>
      </c>
      <c r="E846" s="12" t="s">
        <v>2618</v>
      </c>
      <c r="F846" s="12" t="s">
        <v>2619</v>
      </c>
      <c r="G846" s="13"/>
      <c r="H846" s="22">
        <v>0</v>
      </c>
      <c r="I846" s="9">
        <f t="shared" ca="1" si="27"/>
        <v>0.44979048709817993</v>
      </c>
    </row>
    <row r="847" spans="1:9" ht="15.75" customHeight="1" x14ac:dyDescent="0.15">
      <c r="A847" s="10">
        <f t="shared" si="26"/>
        <v>846</v>
      </c>
      <c r="B847" s="12" t="s">
        <v>1266</v>
      </c>
      <c r="C847" s="10" t="s">
        <v>32</v>
      </c>
      <c r="D847" s="12" t="s">
        <v>2620</v>
      </c>
      <c r="E847" s="12" t="s">
        <v>174</v>
      </c>
      <c r="F847" s="11" t="s">
        <v>2621</v>
      </c>
      <c r="G847" s="13"/>
      <c r="H847" s="22">
        <v>0</v>
      </c>
      <c r="I847" s="9">
        <f t="shared" ca="1" si="27"/>
        <v>0.21264802823377027</v>
      </c>
    </row>
    <row r="848" spans="1:9" ht="15.75" customHeight="1" x14ac:dyDescent="0.15">
      <c r="A848" s="10">
        <f t="shared" si="26"/>
        <v>847</v>
      </c>
      <c r="B848" s="11" t="s">
        <v>36</v>
      </c>
      <c r="C848" s="10" t="s">
        <v>32</v>
      </c>
      <c r="D848" s="11" t="s">
        <v>2622</v>
      </c>
      <c r="E848" s="12" t="s">
        <v>174</v>
      </c>
      <c r="F848" s="11" t="s">
        <v>2623</v>
      </c>
      <c r="G848" s="13"/>
      <c r="H848" s="22">
        <v>0</v>
      </c>
      <c r="I848" s="9">
        <f t="shared" ca="1" si="27"/>
        <v>0.42484008224571146</v>
      </c>
    </row>
    <row r="849" spans="1:9" ht="15.75" hidden="1" customHeight="1" x14ac:dyDescent="0.15">
      <c r="A849" s="10">
        <f t="shared" si="26"/>
        <v>848</v>
      </c>
      <c r="B849" s="12" t="s">
        <v>3253</v>
      </c>
      <c r="C849" s="10" t="s">
        <v>11</v>
      </c>
      <c r="D849" s="12" t="s">
        <v>2624</v>
      </c>
      <c r="E849" s="12" t="s">
        <v>2625</v>
      </c>
      <c r="F849" s="11" t="s">
        <v>2626</v>
      </c>
      <c r="G849" s="13"/>
      <c r="H849" s="22">
        <v>0</v>
      </c>
      <c r="I849" s="9">
        <f t="shared" ca="1" si="27"/>
        <v>8.2117423882326568E-2</v>
      </c>
    </row>
    <row r="850" spans="1:9" ht="15.75" hidden="1" customHeight="1" x14ac:dyDescent="0.15">
      <c r="A850" s="10">
        <f t="shared" si="26"/>
        <v>849</v>
      </c>
      <c r="B850" s="12" t="s">
        <v>1266</v>
      </c>
      <c r="C850" s="10" t="s">
        <v>11</v>
      </c>
      <c r="D850" s="11" t="s">
        <v>2627</v>
      </c>
      <c r="E850" s="12" t="s">
        <v>2628</v>
      </c>
      <c r="F850" s="11" t="s">
        <v>2629</v>
      </c>
      <c r="G850" s="13"/>
      <c r="H850" s="22">
        <v>0</v>
      </c>
      <c r="I850" s="9">
        <f t="shared" ca="1" si="27"/>
        <v>0.65995570138655146</v>
      </c>
    </row>
    <row r="851" spans="1:9" ht="15.75" hidden="1" customHeight="1" x14ac:dyDescent="0.15">
      <c r="A851" s="10">
        <f t="shared" si="26"/>
        <v>850</v>
      </c>
      <c r="B851" s="12" t="s">
        <v>3253</v>
      </c>
      <c r="C851" s="10" t="s">
        <v>16</v>
      </c>
      <c r="D851" s="12" t="s">
        <v>2630</v>
      </c>
      <c r="E851" s="13" t="s">
        <v>98</v>
      </c>
      <c r="F851" s="12" t="s">
        <v>2631</v>
      </c>
      <c r="G851" s="13"/>
      <c r="H851" s="22">
        <v>0</v>
      </c>
      <c r="I851" s="9">
        <f t="shared" ca="1" si="27"/>
        <v>0.63991227957533892</v>
      </c>
    </row>
    <row r="852" spans="1:9" ht="15.75" customHeight="1" x14ac:dyDescent="0.15">
      <c r="A852" s="10">
        <f t="shared" si="26"/>
        <v>851</v>
      </c>
      <c r="B852" s="10" t="s">
        <v>20</v>
      </c>
      <c r="C852" s="10" t="s">
        <v>27</v>
      </c>
      <c r="D852" s="11" t="s">
        <v>2632</v>
      </c>
      <c r="E852" s="15">
        <v>650000</v>
      </c>
      <c r="F852" s="11" t="s">
        <v>2633</v>
      </c>
      <c r="G852" s="13"/>
      <c r="H852" s="14">
        <v>1</v>
      </c>
      <c r="I852" s="9">
        <f t="shared" ca="1" si="27"/>
        <v>0.8169489544558648</v>
      </c>
    </row>
    <row r="853" spans="1:9" ht="15.75" hidden="1" customHeight="1" x14ac:dyDescent="0.15">
      <c r="A853" s="10">
        <f t="shared" si="26"/>
        <v>852</v>
      </c>
      <c r="B853" s="12" t="s">
        <v>3253</v>
      </c>
      <c r="C853" s="10" t="s">
        <v>16</v>
      </c>
      <c r="D853" s="12" t="s">
        <v>2634</v>
      </c>
      <c r="E853" s="13" t="s">
        <v>106</v>
      </c>
      <c r="F853" s="12" t="s">
        <v>2635</v>
      </c>
      <c r="G853" s="13"/>
      <c r="H853" s="22">
        <v>0</v>
      </c>
      <c r="I853" s="9">
        <f t="shared" ca="1" si="27"/>
        <v>3.5123516533304922E-2</v>
      </c>
    </row>
    <row r="854" spans="1:9" ht="15.75" hidden="1" customHeight="1" x14ac:dyDescent="0.15">
      <c r="A854" s="10">
        <f t="shared" si="26"/>
        <v>853</v>
      </c>
      <c r="B854" s="10" t="s">
        <v>20</v>
      </c>
      <c r="C854" s="10" t="s">
        <v>11</v>
      </c>
      <c r="D854" s="12" t="s">
        <v>2636</v>
      </c>
      <c r="E854" s="12" t="s">
        <v>2637</v>
      </c>
      <c r="F854" s="11" t="s">
        <v>2638</v>
      </c>
      <c r="G854" s="13"/>
      <c r="H854" s="14">
        <v>1</v>
      </c>
      <c r="I854" s="9">
        <f t="shared" ca="1" si="27"/>
        <v>0.7274639438035867</v>
      </c>
    </row>
    <row r="855" spans="1:9" ht="15.75" customHeight="1" x14ac:dyDescent="0.15">
      <c r="A855" s="10">
        <f t="shared" si="26"/>
        <v>854</v>
      </c>
      <c r="B855" s="12" t="s">
        <v>3253</v>
      </c>
      <c r="C855" s="10" t="s">
        <v>27</v>
      </c>
      <c r="D855" s="12" t="s">
        <v>2639</v>
      </c>
      <c r="E855" s="12" t="s">
        <v>2640</v>
      </c>
      <c r="F855" s="12" t="s">
        <v>2641</v>
      </c>
      <c r="G855" s="13"/>
      <c r="H855" s="22">
        <v>0</v>
      </c>
      <c r="I855" s="9">
        <f t="shared" ca="1" si="27"/>
        <v>7.7388827937700855E-2</v>
      </c>
    </row>
    <row r="856" spans="1:9" ht="15.75" customHeight="1" x14ac:dyDescent="0.15">
      <c r="A856" s="10">
        <f t="shared" si="26"/>
        <v>855</v>
      </c>
      <c r="B856" s="11" t="s">
        <v>31</v>
      </c>
      <c r="C856" s="10" t="s">
        <v>32</v>
      </c>
      <c r="D856" s="11" t="s">
        <v>2642</v>
      </c>
      <c r="E856" s="12" t="s">
        <v>174</v>
      </c>
      <c r="F856" s="11" t="s">
        <v>2643</v>
      </c>
      <c r="G856" s="13"/>
      <c r="H856" s="22">
        <v>0</v>
      </c>
      <c r="I856" s="9">
        <f t="shared" ca="1" si="27"/>
        <v>0.76116779469231521</v>
      </c>
    </row>
    <row r="857" spans="1:9" ht="15.75" hidden="1" customHeight="1" x14ac:dyDescent="0.15">
      <c r="A857" s="10">
        <f t="shared" si="26"/>
        <v>856</v>
      </c>
      <c r="B857" s="12" t="s">
        <v>20</v>
      </c>
      <c r="C857" s="10" t="s">
        <v>16</v>
      </c>
      <c r="D857" s="12" t="s">
        <v>2644</v>
      </c>
      <c r="E857" s="13" t="s">
        <v>127</v>
      </c>
      <c r="F857" s="12" t="s">
        <v>2645</v>
      </c>
      <c r="G857" s="13"/>
      <c r="H857" s="14">
        <v>1</v>
      </c>
      <c r="I857" s="9">
        <f t="shared" ca="1" si="27"/>
        <v>0.52597116425315682</v>
      </c>
    </row>
    <row r="858" spans="1:9" ht="15.75" hidden="1" customHeight="1" x14ac:dyDescent="0.15">
      <c r="A858" s="10">
        <f t="shared" si="26"/>
        <v>857</v>
      </c>
      <c r="B858" s="10" t="s">
        <v>20</v>
      </c>
      <c r="C858" s="10" t="s">
        <v>11</v>
      </c>
      <c r="D858" s="12" t="s">
        <v>2646</v>
      </c>
      <c r="E858" s="12" t="s">
        <v>2647</v>
      </c>
      <c r="F858" s="11" t="s">
        <v>2648</v>
      </c>
      <c r="G858" s="13"/>
      <c r="H858" s="22">
        <v>0</v>
      </c>
      <c r="I858" s="9">
        <f t="shared" ca="1" si="27"/>
        <v>0.84734889444502748</v>
      </c>
    </row>
    <row r="859" spans="1:9" ht="15.75" hidden="1" customHeight="1" x14ac:dyDescent="0.15">
      <c r="A859" s="10">
        <f t="shared" si="26"/>
        <v>858</v>
      </c>
      <c r="B859" s="11" t="s">
        <v>36</v>
      </c>
      <c r="C859" s="10" t="s">
        <v>11</v>
      </c>
      <c r="D859" s="11" t="s">
        <v>2649</v>
      </c>
      <c r="E859" s="12" t="s">
        <v>2650</v>
      </c>
      <c r="F859" s="11" t="s">
        <v>2651</v>
      </c>
      <c r="G859" s="13"/>
      <c r="H859" s="22">
        <v>0</v>
      </c>
      <c r="I859" s="9">
        <f t="shared" ca="1" si="27"/>
        <v>0.85576294024487376</v>
      </c>
    </row>
    <row r="860" spans="1:9" ht="15.75" customHeight="1" x14ac:dyDescent="0.15">
      <c r="A860" s="10">
        <f t="shared" si="26"/>
        <v>859</v>
      </c>
      <c r="B860" s="12" t="s">
        <v>3253</v>
      </c>
      <c r="C860" s="10" t="s">
        <v>27</v>
      </c>
      <c r="D860" s="11" t="s">
        <v>2652</v>
      </c>
      <c r="E860" s="11" t="s">
        <v>2653</v>
      </c>
      <c r="F860" s="11" t="s">
        <v>2654</v>
      </c>
      <c r="G860" s="13"/>
      <c r="H860" s="22">
        <v>0</v>
      </c>
      <c r="I860" s="9">
        <f t="shared" ca="1" si="27"/>
        <v>8.5835013354707557E-2</v>
      </c>
    </row>
    <row r="861" spans="1:9" ht="15.75" hidden="1" customHeight="1" x14ac:dyDescent="0.15">
      <c r="A861" s="10">
        <f t="shared" si="26"/>
        <v>860</v>
      </c>
      <c r="B861" s="12" t="s">
        <v>1266</v>
      </c>
      <c r="C861" s="10" t="s">
        <v>16</v>
      </c>
      <c r="D861" s="11" t="s">
        <v>2655</v>
      </c>
      <c r="E861" s="13" t="s">
        <v>106</v>
      </c>
      <c r="F861" s="11" t="s">
        <v>2656</v>
      </c>
      <c r="G861" s="13"/>
      <c r="H861" s="22">
        <v>0</v>
      </c>
      <c r="I861" s="9">
        <f t="shared" ca="1" si="27"/>
        <v>0.65893514697094113</v>
      </c>
    </row>
    <row r="862" spans="1:9" ht="15.75" customHeight="1" x14ac:dyDescent="0.15">
      <c r="A862" s="10">
        <f t="shared" si="26"/>
        <v>861</v>
      </c>
      <c r="B862" s="11" t="s">
        <v>31</v>
      </c>
      <c r="C862" s="10" t="s">
        <v>21</v>
      </c>
      <c r="D862" s="12" t="s">
        <v>2657</v>
      </c>
      <c r="E862" s="13" t="s">
        <v>1361</v>
      </c>
      <c r="F862" s="12" t="s">
        <v>2658</v>
      </c>
      <c r="G862" s="13"/>
      <c r="H862" s="22">
        <v>0</v>
      </c>
      <c r="I862" s="9">
        <f t="shared" ca="1" si="27"/>
        <v>0.78667731067334601</v>
      </c>
    </row>
    <row r="863" spans="1:9" ht="15.75" hidden="1" customHeight="1" x14ac:dyDescent="0.15">
      <c r="A863" s="10">
        <f t="shared" si="26"/>
        <v>862</v>
      </c>
      <c r="B863" s="12" t="s">
        <v>20</v>
      </c>
      <c r="C863" s="10" t="s">
        <v>16</v>
      </c>
      <c r="D863" s="11" t="s">
        <v>2659</v>
      </c>
      <c r="E863" s="13" t="s">
        <v>98</v>
      </c>
      <c r="F863" s="11" t="s">
        <v>2660</v>
      </c>
      <c r="G863" s="13"/>
      <c r="H863" s="14">
        <v>1</v>
      </c>
      <c r="I863" s="9">
        <f t="shared" ca="1" si="27"/>
        <v>0.76558471720015298</v>
      </c>
    </row>
    <row r="864" spans="1:9" ht="15.75" hidden="1" customHeight="1" x14ac:dyDescent="0.15">
      <c r="A864" s="10">
        <f t="shared" si="26"/>
        <v>863</v>
      </c>
      <c r="B864" s="12" t="s">
        <v>3253</v>
      </c>
      <c r="C864" s="10" t="s">
        <v>11</v>
      </c>
      <c r="D864" s="12" t="s">
        <v>2661</v>
      </c>
      <c r="E864" s="12" t="s">
        <v>2662</v>
      </c>
      <c r="F864" s="11" t="s">
        <v>2663</v>
      </c>
      <c r="G864" s="13"/>
      <c r="H864" s="22">
        <v>0</v>
      </c>
      <c r="I864" s="9">
        <f t="shared" ca="1" si="27"/>
        <v>3.821580175495487E-2</v>
      </c>
    </row>
    <row r="865" spans="1:9" ht="15.75" customHeight="1" x14ac:dyDescent="0.15">
      <c r="A865" s="10">
        <f t="shared" si="26"/>
        <v>864</v>
      </c>
      <c r="B865" s="11" t="s">
        <v>36</v>
      </c>
      <c r="C865" s="10" t="s">
        <v>21</v>
      </c>
      <c r="D865" s="12" t="s">
        <v>2664</v>
      </c>
      <c r="E865" s="13" t="s">
        <v>129</v>
      </c>
      <c r="F865" s="12" t="s">
        <v>2665</v>
      </c>
      <c r="G865" s="13"/>
      <c r="H865" s="22">
        <v>0</v>
      </c>
      <c r="I865" s="9">
        <f t="shared" ca="1" si="27"/>
        <v>0.55632064868967279</v>
      </c>
    </row>
    <row r="866" spans="1:9" ht="15.75" customHeight="1" x14ac:dyDescent="0.15">
      <c r="A866" s="10">
        <f t="shared" si="26"/>
        <v>865</v>
      </c>
      <c r="B866" s="12" t="s">
        <v>1266</v>
      </c>
      <c r="C866" s="10" t="s">
        <v>27</v>
      </c>
      <c r="D866" s="12" t="s">
        <v>2666</v>
      </c>
      <c r="E866" s="12" t="s">
        <v>2667</v>
      </c>
      <c r="F866" s="12" t="s">
        <v>2668</v>
      </c>
      <c r="G866" s="13"/>
      <c r="H866" s="22">
        <v>0</v>
      </c>
      <c r="I866" s="9">
        <f t="shared" ca="1" si="27"/>
        <v>0.92703058924291803</v>
      </c>
    </row>
    <row r="867" spans="1:9" ht="15.75" hidden="1" customHeight="1" x14ac:dyDescent="0.15">
      <c r="A867" s="10">
        <f t="shared" si="26"/>
        <v>866</v>
      </c>
      <c r="B867" s="11" t="s">
        <v>31</v>
      </c>
      <c r="C867" s="10" t="s">
        <v>16</v>
      </c>
      <c r="D867" s="11" t="s">
        <v>2669</v>
      </c>
      <c r="E867" s="13" t="s">
        <v>127</v>
      </c>
      <c r="F867" s="11" t="s">
        <v>2670</v>
      </c>
      <c r="G867" s="13"/>
      <c r="H867" s="22">
        <v>0</v>
      </c>
      <c r="I867" s="9">
        <f t="shared" ca="1" si="27"/>
        <v>0.58516108370381437</v>
      </c>
    </row>
    <row r="868" spans="1:9" ht="15.75" hidden="1" customHeight="1" x14ac:dyDescent="0.15">
      <c r="A868" s="10">
        <f t="shared" si="26"/>
        <v>867</v>
      </c>
      <c r="B868" s="11" t="s">
        <v>36</v>
      </c>
      <c r="C868" s="10" t="s">
        <v>16</v>
      </c>
      <c r="D868" s="12" t="s">
        <v>2671</v>
      </c>
      <c r="E868" s="13" t="s">
        <v>159</v>
      </c>
      <c r="F868" s="12" t="s">
        <v>2672</v>
      </c>
      <c r="G868" s="13"/>
      <c r="H868" s="14">
        <v>1</v>
      </c>
      <c r="I868" s="9">
        <f t="shared" ca="1" si="27"/>
        <v>0.62847354334693883</v>
      </c>
    </row>
    <row r="869" spans="1:9" ht="15.75" hidden="1" customHeight="1" x14ac:dyDescent="0.15">
      <c r="A869" s="10">
        <f t="shared" si="26"/>
        <v>868</v>
      </c>
      <c r="B869" s="12" t="s">
        <v>3253</v>
      </c>
      <c r="C869" s="10" t="s">
        <v>11</v>
      </c>
      <c r="D869" s="12" t="s">
        <v>2673</v>
      </c>
      <c r="E869" s="12" t="s">
        <v>2674</v>
      </c>
      <c r="F869" s="11" t="s">
        <v>2675</v>
      </c>
      <c r="G869" s="13"/>
      <c r="H869" s="22">
        <v>0</v>
      </c>
      <c r="I869" s="9">
        <f t="shared" ca="1" si="27"/>
        <v>0.46236040818788482</v>
      </c>
    </row>
    <row r="870" spans="1:9" ht="15.75" customHeight="1" x14ac:dyDescent="0.15">
      <c r="A870" s="10">
        <f t="shared" si="26"/>
        <v>869</v>
      </c>
      <c r="B870" s="11" t="s">
        <v>36</v>
      </c>
      <c r="C870" s="10" t="s">
        <v>32</v>
      </c>
      <c r="D870" s="11" t="s">
        <v>2676</v>
      </c>
      <c r="E870" s="12" t="s">
        <v>174</v>
      </c>
      <c r="F870" s="11" t="s">
        <v>2677</v>
      </c>
      <c r="G870" s="13"/>
      <c r="H870" s="22">
        <v>0</v>
      </c>
      <c r="I870" s="9">
        <f t="shared" ca="1" si="27"/>
        <v>0.97492692268647041</v>
      </c>
    </row>
    <row r="871" spans="1:9" ht="15.75" customHeight="1" x14ac:dyDescent="0.15">
      <c r="A871" s="10">
        <f t="shared" si="26"/>
        <v>870</v>
      </c>
      <c r="B871" s="11" t="s">
        <v>36</v>
      </c>
      <c r="C871" s="10" t="s">
        <v>32</v>
      </c>
      <c r="D871" s="11" t="s">
        <v>2678</v>
      </c>
      <c r="E871" s="12" t="s">
        <v>174</v>
      </c>
      <c r="F871" s="11" t="s">
        <v>2679</v>
      </c>
      <c r="G871" s="13"/>
      <c r="H871" s="22">
        <v>0</v>
      </c>
      <c r="I871" s="9">
        <f t="shared" ca="1" si="27"/>
        <v>0.31835179110658385</v>
      </c>
    </row>
    <row r="872" spans="1:9" ht="15.75" customHeight="1" x14ac:dyDescent="0.15">
      <c r="A872" s="10">
        <f t="shared" si="26"/>
        <v>871</v>
      </c>
      <c r="B872" s="11" t="s">
        <v>31</v>
      </c>
      <c r="C872" s="10" t="s">
        <v>27</v>
      </c>
      <c r="D872" s="11" t="s">
        <v>2680</v>
      </c>
      <c r="E872" s="15">
        <v>100</v>
      </c>
      <c r="F872" s="11" t="s">
        <v>2681</v>
      </c>
      <c r="G872" s="13"/>
      <c r="H872" s="14">
        <v>1</v>
      </c>
      <c r="I872" s="9">
        <f t="shared" ca="1" si="27"/>
        <v>0.29230743262277836</v>
      </c>
    </row>
    <row r="873" spans="1:9" ht="15.75" customHeight="1" x14ac:dyDescent="0.15">
      <c r="A873" s="10">
        <f t="shared" si="26"/>
        <v>872</v>
      </c>
      <c r="B873" s="12" t="s">
        <v>1266</v>
      </c>
      <c r="C873" s="10" t="s">
        <v>21</v>
      </c>
      <c r="D873" s="12" t="s">
        <v>2682</v>
      </c>
      <c r="E873" s="13" t="s">
        <v>136</v>
      </c>
      <c r="F873" s="12" t="s">
        <v>2683</v>
      </c>
      <c r="G873" s="13"/>
      <c r="H873" s="22">
        <v>0</v>
      </c>
      <c r="I873" s="9">
        <f t="shared" ca="1" si="27"/>
        <v>0.71569054342839256</v>
      </c>
    </row>
    <row r="874" spans="1:9" ht="15.75" customHeight="1" x14ac:dyDescent="0.15">
      <c r="A874" s="10">
        <f t="shared" si="26"/>
        <v>873</v>
      </c>
      <c r="B874" s="12" t="s">
        <v>3253</v>
      </c>
      <c r="C874" s="10" t="s">
        <v>27</v>
      </c>
      <c r="D874" s="12" t="s">
        <v>2684</v>
      </c>
      <c r="E874" s="12" t="s">
        <v>2685</v>
      </c>
      <c r="F874" s="12" t="s">
        <v>2686</v>
      </c>
      <c r="G874" s="13"/>
      <c r="H874" s="22">
        <v>0</v>
      </c>
      <c r="I874" s="9">
        <f t="shared" ca="1" si="27"/>
        <v>0.28912186657582351</v>
      </c>
    </row>
    <row r="875" spans="1:9" ht="15.75" customHeight="1" x14ac:dyDescent="0.15">
      <c r="A875" s="10">
        <f t="shared" si="26"/>
        <v>874</v>
      </c>
      <c r="B875" s="10" t="s">
        <v>20</v>
      </c>
      <c r="C875" s="10" t="s">
        <v>27</v>
      </c>
      <c r="D875" s="11" t="s">
        <v>2687</v>
      </c>
      <c r="E875" s="11" t="s">
        <v>2688</v>
      </c>
      <c r="F875" s="11" t="s">
        <v>2689</v>
      </c>
      <c r="G875" s="13"/>
      <c r="H875" s="22">
        <v>0</v>
      </c>
      <c r="I875" s="9">
        <f t="shared" ca="1" si="27"/>
        <v>0.96014069193073326</v>
      </c>
    </row>
    <row r="876" spans="1:9" ht="15.75" customHeight="1" x14ac:dyDescent="0.15">
      <c r="A876" s="10">
        <f t="shared" si="26"/>
        <v>875</v>
      </c>
      <c r="B876" s="11" t="s">
        <v>36</v>
      </c>
      <c r="C876" s="10" t="s">
        <v>21</v>
      </c>
      <c r="D876" s="11" t="s">
        <v>2690</v>
      </c>
      <c r="E876" s="13" t="s">
        <v>241</v>
      </c>
      <c r="F876" s="12" t="s">
        <v>2691</v>
      </c>
      <c r="G876" s="13"/>
      <c r="H876" s="22">
        <v>0</v>
      </c>
      <c r="I876" s="9">
        <f t="shared" ca="1" si="27"/>
        <v>0.6449281009760538</v>
      </c>
    </row>
    <row r="877" spans="1:9" ht="15.75" hidden="1" customHeight="1" x14ac:dyDescent="0.15">
      <c r="A877" s="10">
        <f t="shared" si="26"/>
        <v>876</v>
      </c>
      <c r="B877" s="11" t="s">
        <v>36</v>
      </c>
      <c r="C877" s="10" t="s">
        <v>11</v>
      </c>
      <c r="D877" s="11" t="s">
        <v>2692</v>
      </c>
      <c r="E877" s="11" t="s">
        <v>2693</v>
      </c>
      <c r="F877" s="11" t="s">
        <v>2694</v>
      </c>
      <c r="G877" s="13"/>
      <c r="H877" s="22">
        <v>0</v>
      </c>
      <c r="I877" s="9">
        <f t="shared" ca="1" si="27"/>
        <v>0.87591575495321994</v>
      </c>
    </row>
    <row r="878" spans="1:9" ht="15.75" customHeight="1" x14ac:dyDescent="0.15">
      <c r="A878" s="10">
        <f t="shared" si="26"/>
        <v>877</v>
      </c>
      <c r="B878" s="11" t="s">
        <v>36</v>
      </c>
      <c r="C878" s="10" t="s">
        <v>21</v>
      </c>
      <c r="D878" s="12" t="s">
        <v>2695</v>
      </c>
      <c r="E878" s="13" t="s">
        <v>1361</v>
      </c>
      <c r="F878" s="12" t="s">
        <v>2696</v>
      </c>
      <c r="G878" s="13"/>
      <c r="H878" s="22">
        <v>0</v>
      </c>
      <c r="I878" s="9">
        <f t="shared" ca="1" si="27"/>
        <v>0.7526150097509382</v>
      </c>
    </row>
    <row r="879" spans="1:9" ht="15.75" customHeight="1" x14ac:dyDescent="0.15">
      <c r="A879" s="10">
        <f t="shared" si="26"/>
        <v>878</v>
      </c>
      <c r="B879" s="11" t="s">
        <v>31</v>
      </c>
      <c r="C879" s="10" t="s">
        <v>32</v>
      </c>
      <c r="D879" s="11" t="s">
        <v>2697</v>
      </c>
      <c r="E879" s="12" t="s">
        <v>174</v>
      </c>
      <c r="F879" s="11" t="s">
        <v>2698</v>
      </c>
      <c r="G879" s="13"/>
      <c r="H879" s="22">
        <v>0</v>
      </c>
      <c r="I879" s="9">
        <f t="shared" ca="1" si="27"/>
        <v>0.48825413850687938</v>
      </c>
    </row>
    <row r="880" spans="1:9" ht="15.75" customHeight="1" x14ac:dyDescent="0.15">
      <c r="A880" s="10">
        <f t="shared" si="26"/>
        <v>879</v>
      </c>
      <c r="B880" s="12" t="s">
        <v>3253</v>
      </c>
      <c r="C880" s="10" t="s">
        <v>21</v>
      </c>
      <c r="D880" s="11" t="s">
        <v>2699</v>
      </c>
      <c r="E880" s="13" t="s">
        <v>136</v>
      </c>
      <c r="F880" s="12" t="s">
        <v>2700</v>
      </c>
      <c r="G880" s="13"/>
      <c r="H880" s="22">
        <v>0</v>
      </c>
      <c r="I880" s="9">
        <f t="shared" ca="1" si="27"/>
        <v>0.4032255606190247</v>
      </c>
    </row>
    <row r="881" spans="1:9" ht="15.75" hidden="1" customHeight="1" x14ac:dyDescent="0.15">
      <c r="A881" s="10">
        <f t="shared" si="26"/>
        <v>880</v>
      </c>
      <c r="B881" s="11" t="s">
        <v>36</v>
      </c>
      <c r="C881" s="10" t="s">
        <v>11</v>
      </c>
      <c r="D881" s="11" t="s">
        <v>2701</v>
      </c>
      <c r="E881" s="11" t="s">
        <v>2702</v>
      </c>
      <c r="F881" s="11" t="s">
        <v>2703</v>
      </c>
      <c r="G881" s="13"/>
      <c r="H881" s="22">
        <v>0</v>
      </c>
      <c r="I881" s="9">
        <f t="shared" ca="1" si="27"/>
        <v>0.55852882657970859</v>
      </c>
    </row>
    <row r="882" spans="1:9" ht="15.75" hidden="1" customHeight="1" x14ac:dyDescent="0.15">
      <c r="A882" s="10">
        <f t="shared" si="26"/>
        <v>881</v>
      </c>
      <c r="B882" s="11" t="s">
        <v>36</v>
      </c>
      <c r="C882" s="10" t="s">
        <v>16</v>
      </c>
      <c r="D882" s="12" t="s">
        <v>2704</v>
      </c>
      <c r="E882" s="13" t="s">
        <v>127</v>
      </c>
      <c r="F882" s="12" t="s">
        <v>2705</v>
      </c>
      <c r="G882" s="13"/>
      <c r="H882" s="22">
        <v>0</v>
      </c>
      <c r="I882" s="9">
        <f t="shared" ca="1" si="27"/>
        <v>5.5833325188867744E-2</v>
      </c>
    </row>
    <row r="883" spans="1:9" ht="15.75" hidden="1" customHeight="1" x14ac:dyDescent="0.15">
      <c r="A883" s="10">
        <f t="shared" si="26"/>
        <v>882</v>
      </c>
      <c r="B883" s="10" t="s">
        <v>20</v>
      </c>
      <c r="C883" s="10" t="s">
        <v>11</v>
      </c>
      <c r="D883" s="11" t="s">
        <v>2706</v>
      </c>
      <c r="E883" s="11" t="s">
        <v>2707</v>
      </c>
      <c r="F883" s="11" t="s">
        <v>2708</v>
      </c>
      <c r="G883" s="13"/>
      <c r="H883" s="22">
        <v>0</v>
      </c>
      <c r="I883" s="9">
        <f t="shared" ca="1" si="27"/>
        <v>0.66346340323897302</v>
      </c>
    </row>
    <row r="884" spans="1:9" ht="15.75" hidden="1" customHeight="1" x14ac:dyDescent="0.15">
      <c r="A884" s="10">
        <f t="shared" si="26"/>
        <v>883</v>
      </c>
      <c r="B884" s="11" t="s">
        <v>31</v>
      </c>
      <c r="C884" s="10" t="s">
        <v>11</v>
      </c>
      <c r="D884" s="12" t="s">
        <v>2709</v>
      </c>
      <c r="E884" s="12" t="s">
        <v>2710</v>
      </c>
      <c r="F884" s="11" t="s">
        <v>2711</v>
      </c>
      <c r="G884" s="13"/>
      <c r="H884" s="14">
        <v>1</v>
      </c>
      <c r="I884" s="9">
        <f t="shared" ca="1" si="27"/>
        <v>0.25281559255301667</v>
      </c>
    </row>
    <row r="885" spans="1:9" ht="15.75" customHeight="1" x14ac:dyDescent="0.15">
      <c r="A885" s="10">
        <f t="shared" si="26"/>
        <v>884</v>
      </c>
      <c r="B885" s="12" t="s">
        <v>3253</v>
      </c>
      <c r="C885" s="10" t="s">
        <v>32</v>
      </c>
      <c r="D885" s="12" t="s">
        <v>2712</v>
      </c>
      <c r="E885" s="12" t="s">
        <v>286</v>
      </c>
      <c r="F885" s="11" t="s">
        <v>2713</v>
      </c>
      <c r="G885" s="13"/>
      <c r="H885" s="22">
        <v>0</v>
      </c>
      <c r="I885" s="9">
        <f t="shared" ca="1" si="27"/>
        <v>3.7136340506613408E-2</v>
      </c>
    </row>
    <row r="886" spans="1:9" ht="15.75" hidden="1" customHeight="1" x14ac:dyDescent="0.15">
      <c r="A886" s="10">
        <f t="shared" si="26"/>
        <v>885</v>
      </c>
      <c r="B886" s="12" t="s">
        <v>1266</v>
      </c>
      <c r="C886" s="10" t="s">
        <v>11</v>
      </c>
      <c r="D886" s="11" t="s">
        <v>2714</v>
      </c>
      <c r="E886" s="12" t="s">
        <v>2715</v>
      </c>
      <c r="F886" s="11" t="s">
        <v>2716</v>
      </c>
      <c r="G886" s="13"/>
      <c r="H886" s="22">
        <v>0</v>
      </c>
      <c r="I886" s="9">
        <f t="shared" ca="1" si="27"/>
        <v>0.24078052715392373</v>
      </c>
    </row>
    <row r="887" spans="1:9" ht="15.75" customHeight="1" x14ac:dyDescent="0.15">
      <c r="A887" s="10">
        <f t="shared" si="26"/>
        <v>886</v>
      </c>
      <c r="B887" s="11" t="s">
        <v>36</v>
      </c>
      <c r="C887" s="10" t="s">
        <v>21</v>
      </c>
      <c r="D887" s="11" t="s">
        <v>2717</v>
      </c>
      <c r="E887" s="13" t="s">
        <v>1361</v>
      </c>
      <c r="F887" s="11" t="s">
        <v>2718</v>
      </c>
      <c r="G887" s="13"/>
      <c r="H887" s="22">
        <v>0</v>
      </c>
      <c r="I887" s="9">
        <f t="shared" ca="1" si="27"/>
        <v>0.55896245290861057</v>
      </c>
    </row>
    <row r="888" spans="1:9" ht="15.75" hidden="1" customHeight="1" x14ac:dyDescent="0.15">
      <c r="A888" s="10">
        <f t="shared" si="26"/>
        <v>887</v>
      </c>
      <c r="B888" s="12" t="s">
        <v>20</v>
      </c>
      <c r="C888" s="10" t="s">
        <v>16</v>
      </c>
      <c r="D888" s="12" t="s">
        <v>2719</v>
      </c>
      <c r="E888" s="13" t="s">
        <v>159</v>
      </c>
      <c r="F888" s="12" t="s">
        <v>2720</v>
      </c>
      <c r="G888" s="13"/>
      <c r="H888" s="22">
        <v>0</v>
      </c>
      <c r="I888" s="9">
        <f t="shared" ca="1" si="27"/>
        <v>0.94942762046640716</v>
      </c>
    </row>
    <row r="889" spans="1:9" ht="15.75" customHeight="1" x14ac:dyDescent="0.15">
      <c r="A889" s="10">
        <f t="shared" si="26"/>
        <v>888</v>
      </c>
      <c r="B889" s="12" t="s">
        <v>3253</v>
      </c>
      <c r="C889" s="10" t="s">
        <v>27</v>
      </c>
      <c r="D889" s="12" t="s">
        <v>2721</v>
      </c>
      <c r="E889" s="12" t="s">
        <v>2722</v>
      </c>
      <c r="F889" s="12" t="s">
        <v>2723</v>
      </c>
      <c r="G889" s="13"/>
      <c r="H889" s="22">
        <v>0</v>
      </c>
      <c r="I889" s="9">
        <f t="shared" ca="1" si="27"/>
        <v>0.41756922382058415</v>
      </c>
    </row>
    <row r="890" spans="1:9" ht="15.75" customHeight="1" x14ac:dyDescent="0.15">
      <c r="A890" s="10">
        <f t="shared" si="26"/>
        <v>889</v>
      </c>
      <c r="B890" s="10" t="s">
        <v>20</v>
      </c>
      <c r="C890" s="10" t="s">
        <v>27</v>
      </c>
      <c r="D890" s="11" t="s">
        <v>2724</v>
      </c>
      <c r="E890" s="11" t="s">
        <v>2725</v>
      </c>
      <c r="F890" s="11" t="s">
        <v>2726</v>
      </c>
      <c r="G890" s="13"/>
      <c r="H890" s="22">
        <v>0</v>
      </c>
      <c r="I890" s="9">
        <f t="shared" ca="1" si="27"/>
        <v>0.67693943932407763</v>
      </c>
    </row>
    <row r="891" spans="1:9" ht="15.75" hidden="1" customHeight="1" x14ac:dyDescent="0.15">
      <c r="A891" s="10">
        <f t="shared" si="26"/>
        <v>890</v>
      </c>
      <c r="B891" s="11" t="s">
        <v>36</v>
      </c>
      <c r="C891" s="10" t="s">
        <v>11</v>
      </c>
      <c r="D891" s="11" t="s">
        <v>2727</v>
      </c>
      <c r="E891" s="12" t="s">
        <v>2728</v>
      </c>
      <c r="F891" s="11" t="s">
        <v>2729</v>
      </c>
      <c r="G891" s="13"/>
      <c r="H891" s="22">
        <v>0</v>
      </c>
      <c r="I891" s="9">
        <f t="shared" ca="1" si="27"/>
        <v>0.14277258417773497</v>
      </c>
    </row>
    <row r="892" spans="1:9" ht="15.75" customHeight="1" x14ac:dyDescent="0.15">
      <c r="A892" s="10">
        <f t="shared" si="26"/>
        <v>891</v>
      </c>
      <c r="B892" s="12" t="s">
        <v>1266</v>
      </c>
      <c r="C892" s="10" t="s">
        <v>27</v>
      </c>
      <c r="D892" s="12" t="s">
        <v>2730</v>
      </c>
      <c r="E892" s="12" t="s">
        <v>2731</v>
      </c>
      <c r="F892" s="12" t="s">
        <v>2732</v>
      </c>
      <c r="G892" s="13"/>
      <c r="H892" s="22">
        <v>0</v>
      </c>
      <c r="I892" s="9">
        <f t="shared" ca="1" si="27"/>
        <v>0.41904309855164501</v>
      </c>
    </row>
    <row r="893" spans="1:9" ht="15.75" customHeight="1" x14ac:dyDescent="0.15">
      <c r="A893" s="10">
        <f t="shared" si="26"/>
        <v>892</v>
      </c>
      <c r="B893" s="12" t="s">
        <v>1266</v>
      </c>
      <c r="C893" s="10" t="s">
        <v>21</v>
      </c>
      <c r="D893" s="11" t="s">
        <v>2733</v>
      </c>
      <c r="E893" s="13" t="s">
        <v>136</v>
      </c>
      <c r="F893" s="11" t="s">
        <v>2734</v>
      </c>
      <c r="G893" s="13"/>
      <c r="H893" s="22">
        <v>0</v>
      </c>
      <c r="I893" s="9">
        <f t="shared" ca="1" si="27"/>
        <v>0.15124946224201508</v>
      </c>
    </row>
    <row r="894" spans="1:9" ht="15.75" hidden="1" customHeight="1" x14ac:dyDescent="0.15">
      <c r="A894" s="10">
        <f t="shared" si="26"/>
        <v>893</v>
      </c>
      <c r="B894" s="11" t="s">
        <v>36</v>
      </c>
      <c r="C894" s="10" t="s">
        <v>11</v>
      </c>
      <c r="D894" s="12" t="s">
        <v>2735</v>
      </c>
      <c r="E894" s="12" t="s">
        <v>2736</v>
      </c>
      <c r="F894" s="11" t="s">
        <v>2737</v>
      </c>
      <c r="G894" s="13"/>
      <c r="H894" s="22">
        <v>0</v>
      </c>
      <c r="I894" s="9">
        <f t="shared" ca="1" si="27"/>
        <v>0.51085879618420893</v>
      </c>
    </row>
    <row r="895" spans="1:9" ht="15.75" customHeight="1" x14ac:dyDescent="0.15">
      <c r="A895" s="10">
        <f t="shared" si="26"/>
        <v>894</v>
      </c>
      <c r="B895" s="12" t="s">
        <v>1266</v>
      </c>
      <c r="C895" s="10" t="s">
        <v>32</v>
      </c>
      <c r="D895" s="11" t="s">
        <v>2738</v>
      </c>
      <c r="E895" s="12" t="s">
        <v>286</v>
      </c>
      <c r="F895" s="11" t="s">
        <v>2739</v>
      </c>
      <c r="G895" s="13"/>
      <c r="H895" s="22">
        <v>0</v>
      </c>
      <c r="I895" s="9">
        <f t="shared" ca="1" si="27"/>
        <v>0.50428582300781932</v>
      </c>
    </row>
    <row r="896" spans="1:9" ht="15.75" customHeight="1" x14ac:dyDescent="0.15">
      <c r="A896" s="10">
        <f t="shared" si="26"/>
        <v>895</v>
      </c>
      <c r="B896" s="10" t="s">
        <v>20</v>
      </c>
      <c r="C896" s="10" t="s">
        <v>27</v>
      </c>
      <c r="D896" s="11" t="s">
        <v>2740</v>
      </c>
      <c r="E896" s="11" t="s">
        <v>2741</v>
      </c>
      <c r="F896" s="11" t="s">
        <v>2742</v>
      </c>
      <c r="G896" s="13"/>
      <c r="H896" s="22">
        <v>0</v>
      </c>
      <c r="I896" s="9">
        <f t="shared" ca="1" si="27"/>
        <v>0.37049604660045354</v>
      </c>
    </row>
    <row r="897" spans="1:9" ht="15.75" customHeight="1" x14ac:dyDescent="0.15">
      <c r="A897" s="10">
        <f t="shared" si="26"/>
        <v>896</v>
      </c>
      <c r="B897" s="10" t="s">
        <v>20</v>
      </c>
      <c r="C897" s="10" t="s">
        <v>27</v>
      </c>
      <c r="D897" s="11" t="s">
        <v>2743</v>
      </c>
      <c r="E897" s="14" t="s">
        <v>2744</v>
      </c>
      <c r="F897" s="11" t="s">
        <v>2745</v>
      </c>
      <c r="G897" s="13"/>
      <c r="H897" s="14">
        <v>1</v>
      </c>
      <c r="I897" s="9">
        <f t="shared" ca="1" si="27"/>
        <v>0.40358017555772296</v>
      </c>
    </row>
    <row r="898" spans="1:9" ht="15.75" hidden="1" customHeight="1" x14ac:dyDescent="0.15">
      <c r="A898" s="10">
        <f t="shared" si="26"/>
        <v>897</v>
      </c>
      <c r="B898" s="10" t="s">
        <v>20</v>
      </c>
      <c r="C898" s="10" t="s">
        <v>11</v>
      </c>
      <c r="D898" s="12" t="s">
        <v>2746</v>
      </c>
      <c r="E898" s="11" t="s">
        <v>2747</v>
      </c>
      <c r="F898" s="11" t="s">
        <v>2748</v>
      </c>
      <c r="G898" s="13"/>
      <c r="H898" s="22">
        <v>0</v>
      </c>
      <c r="I898" s="9">
        <f t="shared" ca="1" si="27"/>
        <v>0.43091735430137368</v>
      </c>
    </row>
    <row r="899" spans="1:9" ht="15.75" customHeight="1" x14ac:dyDescent="0.15">
      <c r="A899" s="10">
        <f t="shared" ref="A899:A962" si="28">ROW() - 1</f>
        <v>898</v>
      </c>
      <c r="B899" s="11" t="s">
        <v>36</v>
      </c>
      <c r="C899" s="10" t="s">
        <v>27</v>
      </c>
      <c r="D899" s="11" t="s">
        <v>2749</v>
      </c>
      <c r="E899" s="11" t="s">
        <v>2750</v>
      </c>
      <c r="F899" s="11" t="s">
        <v>2751</v>
      </c>
      <c r="G899" s="13"/>
      <c r="H899" s="22">
        <v>0</v>
      </c>
      <c r="I899" s="9">
        <f t="shared" ca="1" si="27"/>
        <v>0.65516529087519215</v>
      </c>
    </row>
    <row r="900" spans="1:9" ht="15.75" customHeight="1" x14ac:dyDescent="0.15">
      <c r="A900" s="10">
        <f t="shared" si="28"/>
        <v>899</v>
      </c>
      <c r="B900" s="11" t="s">
        <v>31</v>
      </c>
      <c r="C900" s="10" t="s">
        <v>27</v>
      </c>
      <c r="D900" s="12" t="s">
        <v>2752</v>
      </c>
      <c r="E900" s="12" t="s">
        <v>2753</v>
      </c>
      <c r="F900" s="12" t="s">
        <v>2754</v>
      </c>
      <c r="G900" s="13"/>
      <c r="H900" s="22">
        <v>0</v>
      </c>
      <c r="I900" s="9">
        <f t="shared" ref="I900:I963" ca="1" si="29">RAND()</f>
        <v>0.73522101347225122</v>
      </c>
    </row>
    <row r="901" spans="1:9" ht="15.75" customHeight="1" x14ac:dyDescent="0.15">
      <c r="A901" s="10">
        <f t="shared" si="28"/>
        <v>900</v>
      </c>
      <c r="B901" s="12" t="s">
        <v>3253</v>
      </c>
      <c r="C901" s="10" t="s">
        <v>27</v>
      </c>
      <c r="D901" s="11" t="s">
        <v>2755</v>
      </c>
      <c r="E901" s="11" t="s">
        <v>2756</v>
      </c>
      <c r="F901" s="11" t="s">
        <v>2757</v>
      </c>
      <c r="G901" s="13"/>
      <c r="H901" s="14">
        <v>1</v>
      </c>
      <c r="I901" s="9">
        <f t="shared" ca="1" si="29"/>
        <v>0.56742836171192279</v>
      </c>
    </row>
    <row r="902" spans="1:9" ht="15.75" hidden="1" customHeight="1" x14ac:dyDescent="0.15">
      <c r="A902" s="10">
        <f t="shared" si="28"/>
        <v>901</v>
      </c>
      <c r="B902" s="11" t="s">
        <v>36</v>
      </c>
      <c r="C902" s="10" t="s">
        <v>16</v>
      </c>
      <c r="D902" s="11" t="s">
        <v>2758</v>
      </c>
      <c r="E902" s="13" t="s">
        <v>98</v>
      </c>
      <c r="F902" s="11" t="s">
        <v>2759</v>
      </c>
      <c r="G902" s="13"/>
      <c r="H902" s="22">
        <v>0</v>
      </c>
      <c r="I902" s="9">
        <f t="shared" ca="1" si="29"/>
        <v>0.17128849880276442</v>
      </c>
    </row>
    <row r="903" spans="1:9" ht="15.75" customHeight="1" x14ac:dyDescent="0.15">
      <c r="A903" s="10">
        <f t="shared" si="28"/>
        <v>902</v>
      </c>
      <c r="B903" s="11" t="s">
        <v>31</v>
      </c>
      <c r="C903" s="10" t="s">
        <v>27</v>
      </c>
      <c r="D903" s="12" t="s">
        <v>2760</v>
      </c>
      <c r="E903" s="12" t="s">
        <v>2761</v>
      </c>
      <c r="F903" s="12" t="s">
        <v>2762</v>
      </c>
      <c r="G903" s="13"/>
      <c r="H903" s="22">
        <v>0</v>
      </c>
      <c r="I903" s="9">
        <f t="shared" ca="1" si="29"/>
        <v>0.64906996170770836</v>
      </c>
    </row>
    <row r="904" spans="1:9" ht="15.75" hidden="1" customHeight="1" x14ac:dyDescent="0.15">
      <c r="A904" s="10">
        <f t="shared" si="28"/>
        <v>903</v>
      </c>
      <c r="B904" s="12" t="s">
        <v>3253</v>
      </c>
      <c r="C904" s="10" t="s">
        <v>16</v>
      </c>
      <c r="D904" s="12" t="s">
        <v>2763</v>
      </c>
      <c r="E904" s="13" t="s">
        <v>127</v>
      </c>
      <c r="F904" s="12" t="s">
        <v>2764</v>
      </c>
      <c r="G904" s="13"/>
      <c r="H904" s="22">
        <v>0</v>
      </c>
      <c r="I904" s="9">
        <f t="shared" ca="1" si="29"/>
        <v>0.95384288723693345</v>
      </c>
    </row>
    <row r="905" spans="1:9" ht="15.75" customHeight="1" x14ac:dyDescent="0.15">
      <c r="A905" s="10">
        <f t="shared" si="28"/>
        <v>904</v>
      </c>
      <c r="B905" s="11" t="s">
        <v>36</v>
      </c>
      <c r="C905" s="10" t="s">
        <v>32</v>
      </c>
      <c r="D905" s="11" t="s">
        <v>2765</v>
      </c>
      <c r="E905" s="12" t="s">
        <v>286</v>
      </c>
      <c r="F905" s="11" t="s">
        <v>2766</v>
      </c>
      <c r="G905" s="13"/>
      <c r="H905" s="22">
        <v>0</v>
      </c>
      <c r="I905" s="9">
        <f t="shared" ca="1" si="29"/>
        <v>0.11260372495870274</v>
      </c>
    </row>
    <row r="906" spans="1:9" ht="15.75" hidden="1" customHeight="1" x14ac:dyDescent="0.15">
      <c r="A906" s="10">
        <f t="shared" si="28"/>
        <v>905</v>
      </c>
      <c r="B906" s="12" t="s">
        <v>1266</v>
      </c>
      <c r="C906" s="10" t="s">
        <v>16</v>
      </c>
      <c r="D906" s="11" t="s">
        <v>2767</v>
      </c>
      <c r="E906" s="13" t="s">
        <v>98</v>
      </c>
      <c r="F906" s="12" t="s">
        <v>2768</v>
      </c>
      <c r="G906" s="13"/>
      <c r="H906" s="22">
        <v>0</v>
      </c>
      <c r="I906" s="9">
        <f t="shared" ca="1" si="29"/>
        <v>0.69398440983777743</v>
      </c>
    </row>
    <row r="907" spans="1:9" ht="15.75" customHeight="1" x14ac:dyDescent="0.15">
      <c r="A907" s="10">
        <f t="shared" si="28"/>
        <v>906</v>
      </c>
      <c r="B907" s="10" t="s">
        <v>20</v>
      </c>
      <c r="C907" s="10" t="s">
        <v>32</v>
      </c>
      <c r="D907" s="11" t="s">
        <v>2769</v>
      </c>
      <c r="E907" s="12" t="s">
        <v>286</v>
      </c>
      <c r="F907" s="11" t="s">
        <v>2770</v>
      </c>
      <c r="G907" s="13"/>
      <c r="H907" s="22">
        <v>0</v>
      </c>
      <c r="I907" s="9">
        <f t="shared" ca="1" si="29"/>
        <v>0.31982919241386432</v>
      </c>
    </row>
    <row r="908" spans="1:9" ht="15.75" hidden="1" customHeight="1" x14ac:dyDescent="0.15">
      <c r="A908" s="10">
        <f t="shared" si="28"/>
        <v>907</v>
      </c>
      <c r="B908" s="12" t="s">
        <v>1266</v>
      </c>
      <c r="C908" s="10" t="s">
        <v>11</v>
      </c>
      <c r="D908" s="11" t="s">
        <v>2771</v>
      </c>
      <c r="E908" s="12" t="s">
        <v>2772</v>
      </c>
      <c r="F908" s="11" t="s">
        <v>2773</v>
      </c>
      <c r="G908" s="13"/>
      <c r="H908" s="22">
        <v>0</v>
      </c>
      <c r="I908" s="9">
        <f t="shared" ca="1" si="29"/>
        <v>0.68967453749373431</v>
      </c>
    </row>
    <row r="909" spans="1:9" ht="15.75" customHeight="1" x14ac:dyDescent="0.15">
      <c r="A909" s="10">
        <f t="shared" si="28"/>
        <v>908</v>
      </c>
      <c r="B909" s="12" t="s">
        <v>1266</v>
      </c>
      <c r="C909" s="10" t="s">
        <v>27</v>
      </c>
      <c r="D909" s="12" t="s">
        <v>2774</v>
      </c>
      <c r="E909" s="12" t="s">
        <v>2775</v>
      </c>
      <c r="F909" s="12" t="s">
        <v>2776</v>
      </c>
      <c r="G909" s="13"/>
      <c r="H909" s="22">
        <v>0</v>
      </c>
      <c r="I909" s="9">
        <f t="shared" ca="1" si="29"/>
        <v>0.66314847949412081</v>
      </c>
    </row>
    <row r="910" spans="1:9" ht="15.75" customHeight="1" x14ac:dyDescent="0.15">
      <c r="A910" s="10">
        <f t="shared" si="28"/>
        <v>909</v>
      </c>
      <c r="B910" s="10" t="s">
        <v>20</v>
      </c>
      <c r="C910" s="10" t="s">
        <v>21</v>
      </c>
      <c r="D910" s="11" t="s">
        <v>2777</v>
      </c>
      <c r="E910" s="13" t="s">
        <v>129</v>
      </c>
      <c r="F910" s="11" t="s">
        <v>2778</v>
      </c>
      <c r="G910" s="13"/>
      <c r="H910" s="22">
        <v>0</v>
      </c>
      <c r="I910" s="9">
        <f t="shared" ca="1" si="29"/>
        <v>0.84069877069389309</v>
      </c>
    </row>
    <row r="911" spans="1:9" ht="15.75" customHeight="1" x14ac:dyDescent="0.15">
      <c r="A911" s="10">
        <f t="shared" si="28"/>
        <v>910</v>
      </c>
      <c r="B911" s="11" t="s">
        <v>31</v>
      </c>
      <c r="C911" s="10" t="s">
        <v>32</v>
      </c>
      <c r="D911" s="11" t="s">
        <v>2779</v>
      </c>
      <c r="E911" s="12" t="s">
        <v>286</v>
      </c>
      <c r="F911" s="11" t="s">
        <v>2780</v>
      </c>
      <c r="G911" s="13"/>
      <c r="H911" s="22">
        <v>0</v>
      </c>
      <c r="I911" s="9">
        <f t="shared" ca="1" si="29"/>
        <v>0.90679559959444422</v>
      </c>
    </row>
    <row r="912" spans="1:9" ht="15.75" customHeight="1" x14ac:dyDescent="0.15">
      <c r="A912" s="10">
        <f t="shared" si="28"/>
        <v>911</v>
      </c>
      <c r="B912" s="11" t="s">
        <v>36</v>
      </c>
      <c r="C912" s="10" t="s">
        <v>32</v>
      </c>
      <c r="D912" s="11" t="s">
        <v>2781</v>
      </c>
      <c r="E912" s="12" t="s">
        <v>174</v>
      </c>
      <c r="F912" s="11" t="s">
        <v>2782</v>
      </c>
      <c r="G912" s="13"/>
      <c r="H912" s="22">
        <v>0</v>
      </c>
      <c r="I912" s="9">
        <f t="shared" ca="1" si="29"/>
        <v>0.33182149974598063</v>
      </c>
    </row>
    <row r="913" spans="1:9" ht="15.75" hidden="1" customHeight="1" x14ac:dyDescent="0.15">
      <c r="A913" s="10">
        <f t="shared" si="28"/>
        <v>912</v>
      </c>
      <c r="B913" s="12" t="s">
        <v>3253</v>
      </c>
      <c r="C913" s="10" t="s">
        <v>16</v>
      </c>
      <c r="D913" s="12" t="s">
        <v>2783</v>
      </c>
      <c r="E913" s="13" t="s">
        <v>127</v>
      </c>
      <c r="F913" s="12" t="s">
        <v>2784</v>
      </c>
      <c r="G913" s="13"/>
      <c r="H913" s="22">
        <v>0</v>
      </c>
      <c r="I913" s="9">
        <f t="shared" ca="1" si="29"/>
        <v>0.43626389178655223</v>
      </c>
    </row>
    <row r="914" spans="1:9" ht="15.75" hidden="1" customHeight="1" x14ac:dyDescent="0.15">
      <c r="A914" s="10">
        <f t="shared" si="28"/>
        <v>913</v>
      </c>
      <c r="B914" s="11" t="s">
        <v>36</v>
      </c>
      <c r="C914" s="10" t="s">
        <v>16</v>
      </c>
      <c r="D914" s="11" t="s">
        <v>2785</v>
      </c>
      <c r="E914" s="13" t="s">
        <v>106</v>
      </c>
      <c r="F914" s="11" t="s">
        <v>2786</v>
      </c>
      <c r="G914" s="13"/>
      <c r="H914" s="14">
        <v>1</v>
      </c>
      <c r="I914" s="9">
        <f t="shared" ca="1" si="29"/>
        <v>0.27471543301197821</v>
      </c>
    </row>
    <row r="915" spans="1:9" ht="15.75" customHeight="1" x14ac:dyDescent="0.15">
      <c r="A915" s="10">
        <f t="shared" si="28"/>
        <v>914</v>
      </c>
      <c r="B915" s="11" t="s">
        <v>36</v>
      </c>
      <c r="C915" s="10" t="s">
        <v>27</v>
      </c>
      <c r="D915" s="11" t="s">
        <v>2787</v>
      </c>
      <c r="E915" s="11" t="s">
        <v>2788</v>
      </c>
      <c r="F915" s="11" t="s">
        <v>2789</v>
      </c>
      <c r="G915" s="13"/>
      <c r="H915" s="22">
        <v>0</v>
      </c>
      <c r="I915" s="9">
        <f t="shared" ca="1" si="29"/>
        <v>0.18001201559731284</v>
      </c>
    </row>
    <row r="916" spans="1:9" ht="15.75" customHeight="1" x14ac:dyDescent="0.15">
      <c r="A916" s="10">
        <f t="shared" si="28"/>
        <v>915</v>
      </c>
      <c r="B916" s="11" t="s">
        <v>36</v>
      </c>
      <c r="C916" s="10" t="s">
        <v>27</v>
      </c>
      <c r="D916" s="11" t="s">
        <v>2790</v>
      </c>
      <c r="E916" s="11" t="s">
        <v>2791</v>
      </c>
      <c r="F916" s="11" t="s">
        <v>2792</v>
      </c>
      <c r="G916" s="13"/>
      <c r="H916" s="22">
        <v>0</v>
      </c>
      <c r="I916" s="9">
        <f t="shared" ca="1" si="29"/>
        <v>0.63418208848688351</v>
      </c>
    </row>
    <row r="917" spans="1:9" ht="15.75" customHeight="1" x14ac:dyDescent="0.15">
      <c r="A917" s="10">
        <f t="shared" si="28"/>
        <v>916</v>
      </c>
      <c r="B917" s="12" t="s">
        <v>3253</v>
      </c>
      <c r="C917" s="10" t="s">
        <v>32</v>
      </c>
      <c r="D917" s="11" t="s">
        <v>2793</v>
      </c>
      <c r="E917" s="12" t="s">
        <v>286</v>
      </c>
      <c r="F917" s="11" t="s">
        <v>2794</v>
      </c>
      <c r="G917" s="13"/>
      <c r="H917" s="22">
        <v>0</v>
      </c>
      <c r="I917" s="9">
        <f t="shared" ca="1" si="29"/>
        <v>0.54354697450894673</v>
      </c>
    </row>
    <row r="918" spans="1:9" ht="15.75" customHeight="1" x14ac:dyDescent="0.15">
      <c r="A918" s="10">
        <f t="shared" si="28"/>
        <v>917</v>
      </c>
      <c r="B918" s="12" t="s">
        <v>3253</v>
      </c>
      <c r="C918" s="10" t="s">
        <v>27</v>
      </c>
      <c r="D918" s="12" t="s">
        <v>2795</v>
      </c>
      <c r="E918" s="12" t="s">
        <v>2796</v>
      </c>
      <c r="F918" s="12" t="s">
        <v>2797</v>
      </c>
      <c r="G918" s="13"/>
      <c r="H918" s="22">
        <v>0</v>
      </c>
      <c r="I918" s="9">
        <f t="shared" ca="1" si="29"/>
        <v>0.63879839813245121</v>
      </c>
    </row>
    <row r="919" spans="1:9" ht="15.75" hidden="1" customHeight="1" x14ac:dyDescent="0.15">
      <c r="A919" s="10">
        <f t="shared" si="28"/>
        <v>918</v>
      </c>
      <c r="B919" s="12" t="s">
        <v>3253</v>
      </c>
      <c r="C919" s="10" t="s">
        <v>16</v>
      </c>
      <c r="D919" s="12" t="s">
        <v>2798</v>
      </c>
      <c r="E919" s="13" t="s">
        <v>159</v>
      </c>
      <c r="F919" s="12" t="s">
        <v>2799</v>
      </c>
      <c r="G919" s="13"/>
      <c r="H919" s="22">
        <v>0</v>
      </c>
      <c r="I919" s="9">
        <f t="shared" ca="1" si="29"/>
        <v>0.42478294982091291</v>
      </c>
    </row>
    <row r="920" spans="1:9" ht="15.75" customHeight="1" x14ac:dyDescent="0.15">
      <c r="A920" s="10">
        <f t="shared" si="28"/>
        <v>919</v>
      </c>
      <c r="B920" s="12" t="s">
        <v>1266</v>
      </c>
      <c r="C920" s="10" t="s">
        <v>32</v>
      </c>
      <c r="D920" s="12" t="s">
        <v>2800</v>
      </c>
      <c r="E920" s="12" t="s">
        <v>174</v>
      </c>
      <c r="F920" s="11" t="s">
        <v>2801</v>
      </c>
      <c r="G920" s="13"/>
      <c r="H920" s="22">
        <v>0</v>
      </c>
      <c r="I920" s="9">
        <f t="shared" ca="1" si="29"/>
        <v>0.69865129032185702</v>
      </c>
    </row>
    <row r="921" spans="1:9" ht="15.75" hidden="1" customHeight="1" x14ac:dyDescent="0.15">
      <c r="A921" s="10">
        <f t="shared" si="28"/>
        <v>920</v>
      </c>
      <c r="B921" s="12" t="s">
        <v>3253</v>
      </c>
      <c r="C921" s="10" t="s">
        <v>16</v>
      </c>
      <c r="D921" s="12" t="s">
        <v>2802</v>
      </c>
      <c r="E921" s="13" t="s">
        <v>98</v>
      </c>
      <c r="F921" s="12" t="s">
        <v>2803</v>
      </c>
      <c r="G921" s="13"/>
      <c r="H921" s="22">
        <v>0</v>
      </c>
      <c r="I921" s="9">
        <f t="shared" ca="1" si="29"/>
        <v>0.93490616340365307</v>
      </c>
    </row>
    <row r="922" spans="1:9" ht="15.75" customHeight="1" x14ac:dyDescent="0.15">
      <c r="A922" s="10">
        <f t="shared" si="28"/>
        <v>921</v>
      </c>
      <c r="B922" s="12" t="s">
        <v>3253</v>
      </c>
      <c r="C922" s="10" t="s">
        <v>32</v>
      </c>
      <c r="D922" s="11" t="s">
        <v>2804</v>
      </c>
      <c r="E922" s="12" t="s">
        <v>286</v>
      </c>
      <c r="F922" s="11" t="s">
        <v>2805</v>
      </c>
      <c r="G922" s="13"/>
      <c r="H922" s="22">
        <v>0</v>
      </c>
      <c r="I922" s="9">
        <f t="shared" ca="1" si="29"/>
        <v>0.94301718959338676</v>
      </c>
    </row>
    <row r="923" spans="1:9" ht="15.75" customHeight="1" x14ac:dyDescent="0.15">
      <c r="A923" s="10">
        <f t="shared" si="28"/>
        <v>922</v>
      </c>
      <c r="B923" s="12" t="s">
        <v>3253</v>
      </c>
      <c r="C923" s="10" t="s">
        <v>32</v>
      </c>
      <c r="D923" s="11" t="s">
        <v>2806</v>
      </c>
      <c r="E923" s="12" t="s">
        <v>286</v>
      </c>
      <c r="F923" s="11" t="s">
        <v>2807</v>
      </c>
      <c r="G923" s="13"/>
      <c r="H923" s="22">
        <v>0</v>
      </c>
      <c r="I923" s="9">
        <f t="shared" ca="1" si="29"/>
        <v>0.5676931900716703</v>
      </c>
    </row>
    <row r="924" spans="1:9" ht="15.75" hidden="1" customHeight="1" x14ac:dyDescent="0.15">
      <c r="A924" s="10">
        <f t="shared" si="28"/>
        <v>923</v>
      </c>
      <c r="B924" s="12" t="s">
        <v>1266</v>
      </c>
      <c r="C924" s="10" t="s">
        <v>16</v>
      </c>
      <c r="D924" s="11" t="s">
        <v>2808</v>
      </c>
      <c r="E924" s="13" t="s">
        <v>106</v>
      </c>
      <c r="F924" s="11" t="s">
        <v>2809</v>
      </c>
      <c r="G924" s="13"/>
      <c r="H924" s="22">
        <v>0</v>
      </c>
      <c r="I924" s="9">
        <f t="shared" ca="1" si="29"/>
        <v>0.15307121157755066</v>
      </c>
    </row>
    <row r="925" spans="1:9" ht="15.75" customHeight="1" x14ac:dyDescent="0.15">
      <c r="A925" s="10">
        <f t="shared" si="28"/>
        <v>924</v>
      </c>
      <c r="B925" s="11" t="s">
        <v>31</v>
      </c>
      <c r="C925" s="10" t="s">
        <v>32</v>
      </c>
      <c r="D925" s="11" t="s">
        <v>2810</v>
      </c>
      <c r="E925" s="12" t="s">
        <v>174</v>
      </c>
      <c r="F925" s="11" t="s">
        <v>2811</v>
      </c>
      <c r="G925" s="13"/>
      <c r="H925" s="22">
        <v>0</v>
      </c>
      <c r="I925" s="9">
        <f t="shared" ca="1" si="29"/>
        <v>0.72458778068973506</v>
      </c>
    </row>
    <row r="926" spans="1:9" ht="15.75" customHeight="1" x14ac:dyDescent="0.15">
      <c r="A926" s="10">
        <f t="shared" si="28"/>
        <v>925</v>
      </c>
      <c r="B926" s="11" t="s">
        <v>31</v>
      </c>
      <c r="C926" s="10" t="s">
        <v>27</v>
      </c>
      <c r="D926" s="12" t="s">
        <v>2812</v>
      </c>
      <c r="E926" s="12" t="s">
        <v>2813</v>
      </c>
      <c r="F926" s="12" t="s">
        <v>2814</v>
      </c>
      <c r="G926" s="13"/>
      <c r="H926" s="22">
        <v>0</v>
      </c>
      <c r="I926" s="9">
        <f t="shared" ca="1" si="29"/>
        <v>0.11952042365049875</v>
      </c>
    </row>
    <row r="927" spans="1:9" ht="15.75" customHeight="1" x14ac:dyDescent="0.15">
      <c r="A927" s="10">
        <f t="shared" si="28"/>
        <v>926</v>
      </c>
      <c r="B927" s="11" t="s">
        <v>36</v>
      </c>
      <c r="C927" s="10" t="s">
        <v>21</v>
      </c>
      <c r="D927" s="11" t="s">
        <v>2815</v>
      </c>
      <c r="E927" s="13" t="s">
        <v>560</v>
      </c>
      <c r="F927" s="11" t="s">
        <v>2816</v>
      </c>
      <c r="G927" s="13"/>
      <c r="H927" s="22">
        <v>0</v>
      </c>
      <c r="I927" s="9">
        <f t="shared" ca="1" si="29"/>
        <v>0.93244691472895458</v>
      </c>
    </row>
    <row r="928" spans="1:9" ht="15.75" customHeight="1" x14ac:dyDescent="0.15">
      <c r="A928" s="10">
        <f t="shared" si="28"/>
        <v>927</v>
      </c>
      <c r="B928" s="11" t="s">
        <v>31</v>
      </c>
      <c r="C928" s="10" t="s">
        <v>27</v>
      </c>
      <c r="D928" s="12" t="s">
        <v>2817</v>
      </c>
      <c r="E928" s="12" t="s">
        <v>2818</v>
      </c>
      <c r="F928" s="12" t="s">
        <v>2819</v>
      </c>
      <c r="G928" s="13"/>
      <c r="H928" s="22">
        <v>0</v>
      </c>
      <c r="I928" s="9">
        <f t="shared" ca="1" si="29"/>
        <v>0.75973257810401462</v>
      </c>
    </row>
    <row r="929" spans="1:9" ht="15.75" customHeight="1" x14ac:dyDescent="0.15">
      <c r="A929" s="10">
        <f t="shared" si="28"/>
        <v>928</v>
      </c>
      <c r="B929" s="11" t="s">
        <v>36</v>
      </c>
      <c r="C929" s="10" t="s">
        <v>32</v>
      </c>
      <c r="D929" s="11" t="s">
        <v>2820</v>
      </c>
      <c r="E929" s="12" t="s">
        <v>286</v>
      </c>
      <c r="F929" s="11" t="s">
        <v>2821</v>
      </c>
      <c r="G929" s="13"/>
      <c r="H929" s="22">
        <v>0</v>
      </c>
      <c r="I929" s="9">
        <f t="shared" ca="1" si="29"/>
        <v>0.98363005078747778</v>
      </c>
    </row>
    <row r="930" spans="1:9" ht="15.75" hidden="1" customHeight="1" x14ac:dyDescent="0.15">
      <c r="A930" s="10">
        <f t="shared" si="28"/>
        <v>929</v>
      </c>
      <c r="B930" s="12" t="s">
        <v>3253</v>
      </c>
      <c r="C930" s="10" t="s">
        <v>11</v>
      </c>
      <c r="D930" s="12" t="s">
        <v>2822</v>
      </c>
      <c r="E930" s="12" t="s">
        <v>2823</v>
      </c>
      <c r="F930" s="11" t="s">
        <v>2824</v>
      </c>
      <c r="G930" s="13"/>
      <c r="H930" s="22">
        <v>0</v>
      </c>
      <c r="I930" s="9">
        <f t="shared" ca="1" si="29"/>
        <v>0.92462970836302572</v>
      </c>
    </row>
    <row r="931" spans="1:9" ht="15.75" customHeight="1" x14ac:dyDescent="0.15">
      <c r="A931" s="10">
        <f t="shared" si="28"/>
        <v>930</v>
      </c>
      <c r="B931" s="11" t="s">
        <v>36</v>
      </c>
      <c r="C931" s="10" t="s">
        <v>21</v>
      </c>
      <c r="D931" s="11" t="s">
        <v>2825</v>
      </c>
      <c r="E931" s="13" t="s">
        <v>134</v>
      </c>
      <c r="F931" s="11" t="s">
        <v>2826</v>
      </c>
      <c r="G931" s="13"/>
      <c r="H931" s="22">
        <v>0</v>
      </c>
      <c r="I931" s="9">
        <f t="shared" ca="1" si="29"/>
        <v>0.52172707885449632</v>
      </c>
    </row>
    <row r="932" spans="1:9" ht="15.75" customHeight="1" x14ac:dyDescent="0.15">
      <c r="A932" s="10">
        <f t="shared" si="28"/>
        <v>931</v>
      </c>
      <c r="B932" s="10" t="s">
        <v>20</v>
      </c>
      <c r="C932" s="10" t="s">
        <v>32</v>
      </c>
      <c r="D932" s="11" t="s">
        <v>2827</v>
      </c>
      <c r="E932" s="12" t="s">
        <v>174</v>
      </c>
      <c r="F932" s="11" t="s">
        <v>2828</v>
      </c>
      <c r="G932" s="13"/>
      <c r="H932" s="22">
        <v>0</v>
      </c>
      <c r="I932" s="9">
        <f t="shared" ca="1" si="29"/>
        <v>0.58327079574857754</v>
      </c>
    </row>
    <row r="933" spans="1:9" ht="15.75" customHeight="1" x14ac:dyDescent="0.15">
      <c r="A933" s="10">
        <f t="shared" si="28"/>
        <v>932</v>
      </c>
      <c r="B933" s="12" t="s">
        <v>3253</v>
      </c>
      <c r="C933" s="10" t="s">
        <v>32</v>
      </c>
      <c r="D933" s="12" t="s">
        <v>2829</v>
      </c>
      <c r="E933" s="12" t="s">
        <v>174</v>
      </c>
      <c r="F933" s="11" t="s">
        <v>2830</v>
      </c>
      <c r="G933" s="13"/>
      <c r="H933" s="22">
        <v>0</v>
      </c>
      <c r="I933" s="9">
        <f t="shared" ca="1" si="29"/>
        <v>0.53825342117982022</v>
      </c>
    </row>
    <row r="934" spans="1:9" ht="15.75" hidden="1" customHeight="1" x14ac:dyDescent="0.15">
      <c r="A934" s="10">
        <f t="shared" si="28"/>
        <v>933</v>
      </c>
      <c r="B934" s="12" t="s">
        <v>20</v>
      </c>
      <c r="C934" s="10" t="s">
        <v>16</v>
      </c>
      <c r="D934" s="12" t="s">
        <v>2831</v>
      </c>
      <c r="E934" s="13" t="s">
        <v>127</v>
      </c>
      <c r="F934" s="12" t="s">
        <v>2832</v>
      </c>
      <c r="G934" s="13"/>
      <c r="H934" s="22">
        <v>0</v>
      </c>
      <c r="I934" s="9">
        <f t="shared" ca="1" si="29"/>
        <v>0.49773144219963539</v>
      </c>
    </row>
    <row r="935" spans="1:9" ht="15.75" customHeight="1" x14ac:dyDescent="0.15">
      <c r="A935" s="10">
        <f t="shared" si="28"/>
        <v>934</v>
      </c>
      <c r="B935" s="12" t="s">
        <v>3253</v>
      </c>
      <c r="C935" s="10" t="s">
        <v>21</v>
      </c>
      <c r="D935" s="11" t="s">
        <v>2833</v>
      </c>
      <c r="E935" s="13" t="s">
        <v>1187</v>
      </c>
      <c r="F935" s="12" t="s">
        <v>2834</v>
      </c>
      <c r="G935" s="13"/>
      <c r="H935" s="22">
        <v>0</v>
      </c>
      <c r="I935" s="9">
        <f t="shared" ca="1" si="29"/>
        <v>0.55491119427177082</v>
      </c>
    </row>
    <row r="936" spans="1:9" ht="15.75" customHeight="1" x14ac:dyDescent="0.15">
      <c r="A936" s="10">
        <f t="shared" si="28"/>
        <v>935</v>
      </c>
      <c r="B936" s="12" t="s">
        <v>1266</v>
      </c>
      <c r="C936" s="10" t="s">
        <v>32</v>
      </c>
      <c r="D936" s="11" t="s">
        <v>2835</v>
      </c>
      <c r="E936" s="12" t="s">
        <v>174</v>
      </c>
      <c r="F936" s="11" t="s">
        <v>2836</v>
      </c>
      <c r="G936" s="13"/>
      <c r="H936" s="22">
        <v>0</v>
      </c>
      <c r="I936" s="9">
        <f t="shared" ca="1" si="29"/>
        <v>0.543237858787462</v>
      </c>
    </row>
    <row r="937" spans="1:9" ht="15.75" customHeight="1" x14ac:dyDescent="0.15">
      <c r="A937" s="10">
        <f t="shared" si="28"/>
        <v>936</v>
      </c>
      <c r="B937" s="10" t="s">
        <v>20</v>
      </c>
      <c r="C937" s="10" t="s">
        <v>32</v>
      </c>
      <c r="D937" s="11" t="s">
        <v>2837</v>
      </c>
      <c r="E937" s="12" t="s">
        <v>174</v>
      </c>
      <c r="F937" s="11" t="s">
        <v>2838</v>
      </c>
      <c r="G937" s="13"/>
      <c r="H937" s="22">
        <v>0</v>
      </c>
      <c r="I937" s="9">
        <f t="shared" ca="1" si="29"/>
        <v>0.60774565300099592</v>
      </c>
    </row>
    <row r="938" spans="1:9" ht="15.75" customHeight="1" x14ac:dyDescent="0.15">
      <c r="A938" s="10">
        <f t="shared" si="28"/>
        <v>937</v>
      </c>
      <c r="B938" s="10" t="s">
        <v>20</v>
      </c>
      <c r="C938" s="10" t="s">
        <v>32</v>
      </c>
      <c r="D938" s="11" t="s">
        <v>2839</v>
      </c>
      <c r="E938" s="12" t="s">
        <v>174</v>
      </c>
      <c r="F938" s="11" t="s">
        <v>2840</v>
      </c>
      <c r="G938" s="13"/>
      <c r="H938" s="22">
        <v>0</v>
      </c>
      <c r="I938" s="9">
        <f t="shared" ca="1" si="29"/>
        <v>0.46283170950409758</v>
      </c>
    </row>
    <row r="939" spans="1:9" ht="15.75" hidden="1" customHeight="1" x14ac:dyDescent="0.15">
      <c r="A939" s="10">
        <f t="shared" si="28"/>
        <v>938</v>
      </c>
      <c r="B939" s="12" t="s">
        <v>1266</v>
      </c>
      <c r="C939" s="10" t="s">
        <v>16</v>
      </c>
      <c r="D939" s="11" t="s">
        <v>2841</v>
      </c>
      <c r="E939" s="13" t="s">
        <v>98</v>
      </c>
      <c r="F939" s="12" t="s">
        <v>2842</v>
      </c>
      <c r="G939" s="13"/>
      <c r="H939" s="22">
        <v>0</v>
      </c>
      <c r="I939" s="9">
        <f t="shared" ca="1" si="29"/>
        <v>0.41678620405890654</v>
      </c>
    </row>
    <row r="940" spans="1:9" ht="15.75" customHeight="1" x14ac:dyDescent="0.15">
      <c r="A940" s="10">
        <f t="shared" si="28"/>
        <v>939</v>
      </c>
      <c r="B940" s="12" t="s">
        <v>3253</v>
      </c>
      <c r="C940" s="10" t="s">
        <v>21</v>
      </c>
      <c r="D940" s="11" t="s">
        <v>2843</v>
      </c>
      <c r="E940" s="13" t="s">
        <v>560</v>
      </c>
      <c r="F940" s="12" t="s">
        <v>2844</v>
      </c>
      <c r="G940" s="13"/>
      <c r="H940" s="22">
        <v>0</v>
      </c>
      <c r="I940" s="9">
        <f t="shared" ca="1" si="29"/>
        <v>4.3508804839717752E-2</v>
      </c>
    </row>
    <row r="941" spans="1:9" ht="15.75" hidden="1" customHeight="1" x14ac:dyDescent="0.15">
      <c r="A941" s="10">
        <f t="shared" si="28"/>
        <v>940</v>
      </c>
      <c r="B941" s="11" t="s">
        <v>36</v>
      </c>
      <c r="C941" s="10" t="s">
        <v>16</v>
      </c>
      <c r="D941" s="11" t="s">
        <v>2845</v>
      </c>
      <c r="E941" s="13" t="s">
        <v>159</v>
      </c>
      <c r="F941" s="11" t="s">
        <v>2846</v>
      </c>
      <c r="G941" s="13"/>
      <c r="H941" s="14">
        <v>1</v>
      </c>
      <c r="I941" s="9">
        <f t="shared" ca="1" si="29"/>
        <v>0.90658562643698859</v>
      </c>
    </row>
    <row r="942" spans="1:9" ht="15.75" hidden="1" customHeight="1" x14ac:dyDescent="0.15">
      <c r="A942" s="10">
        <f t="shared" si="28"/>
        <v>941</v>
      </c>
      <c r="B942" s="12" t="s">
        <v>3253</v>
      </c>
      <c r="C942" s="10" t="s">
        <v>16</v>
      </c>
      <c r="D942" s="11" t="s">
        <v>2847</v>
      </c>
      <c r="E942" s="13" t="s">
        <v>106</v>
      </c>
      <c r="F942" s="11" t="s">
        <v>2848</v>
      </c>
      <c r="G942" s="13"/>
      <c r="H942" s="14">
        <v>1</v>
      </c>
      <c r="I942" s="9">
        <f t="shared" ca="1" si="29"/>
        <v>0.53029570708315477</v>
      </c>
    </row>
    <row r="943" spans="1:9" ht="15.75" customHeight="1" x14ac:dyDescent="0.15">
      <c r="A943" s="10">
        <f t="shared" si="28"/>
        <v>942</v>
      </c>
      <c r="B943" s="12" t="s">
        <v>3253</v>
      </c>
      <c r="C943" s="10" t="s">
        <v>21</v>
      </c>
      <c r="D943" s="12" t="s">
        <v>2849</v>
      </c>
      <c r="E943" s="13" t="s">
        <v>1187</v>
      </c>
      <c r="F943" s="12" t="s">
        <v>2850</v>
      </c>
      <c r="G943" s="13"/>
      <c r="H943" s="22">
        <v>0</v>
      </c>
      <c r="I943" s="9">
        <f t="shared" ca="1" si="29"/>
        <v>0.40994808672353233</v>
      </c>
    </row>
    <row r="944" spans="1:9" ht="15.75" hidden="1" customHeight="1" x14ac:dyDescent="0.15">
      <c r="A944" s="10">
        <f t="shared" si="28"/>
        <v>943</v>
      </c>
      <c r="B944" s="11" t="s">
        <v>31</v>
      </c>
      <c r="C944" s="10" t="s">
        <v>16</v>
      </c>
      <c r="D944" s="12" t="s">
        <v>2851</v>
      </c>
      <c r="E944" s="13" t="s">
        <v>98</v>
      </c>
      <c r="F944" s="12" t="s">
        <v>2852</v>
      </c>
      <c r="G944" s="13"/>
      <c r="H944" s="14">
        <v>1</v>
      </c>
      <c r="I944" s="9">
        <f t="shared" ca="1" si="29"/>
        <v>0.4575048336211911</v>
      </c>
    </row>
    <row r="945" spans="1:9" ht="15.75" hidden="1" customHeight="1" x14ac:dyDescent="0.15">
      <c r="A945" s="10">
        <f t="shared" si="28"/>
        <v>944</v>
      </c>
      <c r="B945" s="11" t="s">
        <v>31</v>
      </c>
      <c r="C945" s="10" t="s">
        <v>16</v>
      </c>
      <c r="D945" s="12" t="s">
        <v>2853</v>
      </c>
      <c r="E945" s="13" t="s">
        <v>106</v>
      </c>
      <c r="F945" s="12" t="s">
        <v>2854</v>
      </c>
      <c r="G945" s="13"/>
      <c r="H945" s="22">
        <v>0</v>
      </c>
      <c r="I945" s="9">
        <f t="shared" ca="1" si="29"/>
        <v>0.85342433884238766</v>
      </c>
    </row>
    <row r="946" spans="1:9" ht="15.75" hidden="1" customHeight="1" x14ac:dyDescent="0.15">
      <c r="A946" s="10">
        <f t="shared" si="28"/>
        <v>945</v>
      </c>
      <c r="B946" s="12" t="s">
        <v>1266</v>
      </c>
      <c r="C946" s="10" t="s">
        <v>16</v>
      </c>
      <c r="D946" s="11" t="s">
        <v>2855</v>
      </c>
      <c r="E946" s="13" t="s">
        <v>127</v>
      </c>
      <c r="F946" s="12" t="s">
        <v>2856</v>
      </c>
      <c r="G946" s="13"/>
      <c r="H946" s="22">
        <v>0</v>
      </c>
      <c r="I946" s="9">
        <f t="shared" ca="1" si="29"/>
        <v>0.26103807869730478</v>
      </c>
    </row>
    <row r="947" spans="1:9" ht="15.75" customHeight="1" x14ac:dyDescent="0.15">
      <c r="A947" s="10">
        <f t="shared" si="28"/>
        <v>946</v>
      </c>
      <c r="B947" s="12" t="s">
        <v>3253</v>
      </c>
      <c r="C947" s="10" t="s">
        <v>27</v>
      </c>
      <c r="D947" s="11" t="s">
        <v>2857</v>
      </c>
      <c r="E947" s="11" t="s">
        <v>2858</v>
      </c>
      <c r="F947" s="11" t="s">
        <v>2859</v>
      </c>
      <c r="G947" s="13"/>
      <c r="H947" s="22">
        <v>0</v>
      </c>
      <c r="I947" s="9">
        <f t="shared" ca="1" si="29"/>
        <v>0.99869661701035206</v>
      </c>
    </row>
    <row r="948" spans="1:9" ht="15.75" customHeight="1" x14ac:dyDescent="0.15">
      <c r="A948" s="10">
        <f t="shared" si="28"/>
        <v>947</v>
      </c>
      <c r="B948" s="12" t="s">
        <v>1266</v>
      </c>
      <c r="C948" s="10" t="s">
        <v>27</v>
      </c>
      <c r="D948" s="12" t="s">
        <v>2860</v>
      </c>
      <c r="E948" s="12" t="s">
        <v>2861</v>
      </c>
      <c r="F948" s="12" t="s">
        <v>2862</v>
      </c>
      <c r="G948" s="13"/>
      <c r="H948" s="22">
        <v>0</v>
      </c>
      <c r="I948" s="9">
        <f t="shared" ca="1" si="29"/>
        <v>0.9655130854124172</v>
      </c>
    </row>
    <row r="949" spans="1:9" ht="15.75" customHeight="1" x14ac:dyDescent="0.15">
      <c r="A949" s="10">
        <f t="shared" si="28"/>
        <v>948</v>
      </c>
      <c r="B949" s="11" t="s">
        <v>36</v>
      </c>
      <c r="C949" s="10" t="s">
        <v>32</v>
      </c>
      <c r="D949" s="11" t="s">
        <v>2863</v>
      </c>
      <c r="E949" s="12" t="s">
        <v>174</v>
      </c>
      <c r="F949" s="11" t="s">
        <v>2864</v>
      </c>
      <c r="G949" s="13"/>
      <c r="H949" s="22">
        <v>0</v>
      </c>
      <c r="I949" s="9">
        <f t="shared" ca="1" si="29"/>
        <v>0.2976826605529902</v>
      </c>
    </row>
    <row r="950" spans="1:9" ht="15.75" customHeight="1" x14ac:dyDescent="0.15">
      <c r="A950" s="10">
        <f t="shared" si="28"/>
        <v>949</v>
      </c>
      <c r="B950" s="11" t="s">
        <v>36</v>
      </c>
      <c r="C950" s="10" t="s">
        <v>27</v>
      </c>
      <c r="D950" s="12" t="s">
        <v>2865</v>
      </c>
      <c r="E950" s="15">
        <v>6</v>
      </c>
      <c r="F950" s="11" t="s">
        <v>2866</v>
      </c>
      <c r="G950" s="13"/>
      <c r="H950" s="14">
        <v>1</v>
      </c>
      <c r="I950" s="9">
        <f t="shared" ca="1" si="29"/>
        <v>0.15334907756438088</v>
      </c>
    </row>
    <row r="951" spans="1:9" ht="15.75" hidden="1" customHeight="1" x14ac:dyDescent="0.15">
      <c r="A951" s="10">
        <f t="shared" si="28"/>
        <v>950</v>
      </c>
      <c r="B951" s="12" t="s">
        <v>20</v>
      </c>
      <c r="C951" s="10" t="s">
        <v>16</v>
      </c>
      <c r="D951" s="11" t="s">
        <v>2867</v>
      </c>
      <c r="E951" s="13" t="s">
        <v>98</v>
      </c>
      <c r="F951" s="11" t="s">
        <v>2868</v>
      </c>
      <c r="G951" s="13"/>
      <c r="H951" s="22">
        <v>0</v>
      </c>
      <c r="I951" s="9">
        <f t="shared" ca="1" si="29"/>
        <v>0.63155551789692443</v>
      </c>
    </row>
    <row r="952" spans="1:9" ht="15.75" customHeight="1" x14ac:dyDescent="0.15">
      <c r="A952" s="10">
        <f t="shared" si="28"/>
        <v>951</v>
      </c>
      <c r="B952" s="11" t="s">
        <v>36</v>
      </c>
      <c r="C952" s="10" t="s">
        <v>21</v>
      </c>
      <c r="D952" s="12" t="s">
        <v>2869</v>
      </c>
      <c r="E952" s="13" t="s">
        <v>1361</v>
      </c>
      <c r="F952" s="12" t="s">
        <v>2870</v>
      </c>
      <c r="G952" s="13"/>
      <c r="H952" s="22">
        <v>0</v>
      </c>
      <c r="I952" s="9">
        <f t="shared" ca="1" si="29"/>
        <v>0.37545839631482614</v>
      </c>
    </row>
    <row r="953" spans="1:9" ht="15.75" customHeight="1" x14ac:dyDescent="0.15">
      <c r="A953" s="10">
        <f t="shared" si="28"/>
        <v>952</v>
      </c>
      <c r="B953" s="11" t="s">
        <v>36</v>
      </c>
      <c r="C953" s="10" t="s">
        <v>27</v>
      </c>
      <c r="D953" s="11" t="s">
        <v>2871</v>
      </c>
      <c r="E953" s="11" t="s">
        <v>2872</v>
      </c>
      <c r="F953" s="11" t="s">
        <v>2873</v>
      </c>
      <c r="G953" s="13"/>
      <c r="H953" s="22">
        <v>0</v>
      </c>
      <c r="I953" s="9">
        <f t="shared" ca="1" si="29"/>
        <v>0.75182590453870546</v>
      </c>
    </row>
    <row r="954" spans="1:9" ht="15.75" customHeight="1" x14ac:dyDescent="0.15">
      <c r="A954" s="10">
        <f t="shared" si="28"/>
        <v>953</v>
      </c>
      <c r="B954" s="11" t="s">
        <v>36</v>
      </c>
      <c r="C954" s="10" t="s">
        <v>32</v>
      </c>
      <c r="D954" s="11" t="s">
        <v>2874</v>
      </c>
      <c r="E954" s="12" t="s">
        <v>174</v>
      </c>
      <c r="F954" s="11" t="s">
        <v>2875</v>
      </c>
      <c r="G954" s="13"/>
      <c r="H954" s="22">
        <v>0</v>
      </c>
      <c r="I954" s="9">
        <f t="shared" ca="1" si="29"/>
        <v>0.95027102001965535</v>
      </c>
    </row>
    <row r="955" spans="1:9" ht="15.75" customHeight="1" x14ac:dyDescent="0.15">
      <c r="A955" s="10">
        <f t="shared" si="28"/>
        <v>954</v>
      </c>
      <c r="B955" s="11" t="s">
        <v>31</v>
      </c>
      <c r="C955" s="10" t="s">
        <v>27</v>
      </c>
      <c r="D955" s="12" t="s">
        <v>2876</v>
      </c>
      <c r="E955" s="12" t="s">
        <v>2877</v>
      </c>
      <c r="F955" s="12" t="s">
        <v>2878</v>
      </c>
      <c r="G955" s="13"/>
      <c r="H955" s="22">
        <v>0</v>
      </c>
      <c r="I955" s="9">
        <f t="shared" ca="1" si="29"/>
        <v>0.78790177348172485</v>
      </c>
    </row>
    <row r="956" spans="1:9" ht="15.75" hidden="1" customHeight="1" x14ac:dyDescent="0.15">
      <c r="A956" s="10">
        <f t="shared" si="28"/>
        <v>955</v>
      </c>
      <c r="B956" s="12" t="s">
        <v>20</v>
      </c>
      <c r="C956" s="10" t="s">
        <v>16</v>
      </c>
      <c r="D956" s="11" t="s">
        <v>2879</v>
      </c>
      <c r="E956" s="13" t="s">
        <v>127</v>
      </c>
      <c r="F956" s="11" t="s">
        <v>2880</v>
      </c>
      <c r="G956" s="13"/>
      <c r="H956" s="22">
        <v>0</v>
      </c>
      <c r="I956" s="9">
        <f t="shared" ca="1" si="29"/>
        <v>0.43745345217185083</v>
      </c>
    </row>
    <row r="957" spans="1:9" ht="15.75" customHeight="1" x14ac:dyDescent="0.15">
      <c r="A957" s="10">
        <f t="shared" si="28"/>
        <v>956</v>
      </c>
      <c r="B957" s="12" t="s">
        <v>3253</v>
      </c>
      <c r="C957" s="10" t="s">
        <v>27</v>
      </c>
      <c r="D957" s="12" t="s">
        <v>2881</v>
      </c>
      <c r="E957" s="12" t="s">
        <v>2882</v>
      </c>
      <c r="F957" s="12" t="s">
        <v>2883</v>
      </c>
      <c r="G957" s="13"/>
      <c r="H957" s="22">
        <v>0</v>
      </c>
      <c r="I957" s="9">
        <f t="shared" ca="1" si="29"/>
        <v>0.53375133158773913</v>
      </c>
    </row>
    <row r="958" spans="1:9" ht="15.75" hidden="1" customHeight="1" x14ac:dyDescent="0.15">
      <c r="A958" s="10">
        <f t="shared" si="28"/>
        <v>957</v>
      </c>
      <c r="B958" s="11" t="s">
        <v>36</v>
      </c>
      <c r="C958" s="10" t="s">
        <v>11</v>
      </c>
      <c r="D958" s="11" t="s">
        <v>2884</v>
      </c>
      <c r="E958" s="12" t="s">
        <v>2885</v>
      </c>
      <c r="F958" s="11" t="s">
        <v>2886</v>
      </c>
      <c r="G958" s="13"/>
      <c r="H958" s="22">
        <v>0</v>
      </c>
      <c r="I958" s="9">
        <f t="shared" ca="1" si="29"/>
        <v>0.52909594134006155</v>
      </c>
    </row>
    <row r="959" spans="1:9" ht="15.75" customHeight="1" x14ac:dyDescent="0.15">
      <c r="A959" s="10">
        <f t="shared" si="28"/>
        <v>958</v>
      </c>
      <c r="B959" s="11" t="s">
        <v>36</v>
      </c>
      <c r="C959" s="10" t="s">
        <v>32</v>
      </c>
      <c r="D959" s="12" t="s">
        <v>2887</v>
      </c>
      <c r="E959" s="12" t="s">
        <v>286</v>
      </c>
      <c r="F959" s="11" t="s">
        <v>2888</v>
      </c>
      <c r="G959" s="13"/>
      <c r="H959" s="22">
        <v>0</v>
      </c>
      <c r="I959" s="9">
        <f t="shared" ca="1" si="29"/>
        <v>0.86512033439332292</v>
      </c>
    </row>
    <row r="960" spans="1:9" ht="15.75" customHeight="1" x14ac:dyDescent="0.15">
      <c r="A960" s="10">
        <f t="shared" si="28"/>
        <v>959</v>
      </c>
      <c r="B960" s="10" t="s">
        <v>20</v>
      </c>
      <c r="C960" s="10" t="s">
        <v>21</v>
      </c>
      <c r="D960" s="11" t="s">
        <v>2889</v>
      </c>
      <c r="E960" s="13" t="s">
        <v>129</v>
      </c>
      <c r="F960" s="11" t="s">
        <v>2890</v>
      </c>
      <c r="G960" s="13"/>
      <c r="H960" s="22">
        <v>0</v>
      </c>
      <c r="I960" s="9">
        <f t="shared" ca="1" si="29"/>
        <v>0.51903056997237051</v>
      </c>
    </row>
    <row r="961" spans="1:9" ht="15.75" customHeight="1" x14ac:dyDescent="0.15">
      <c r="A961" s="10">
        <f t="shared" si="28"/>
        <v>960</v>
      </c>
      <c r="B961" s="12" t="s">
        <v>3253</v>
      </c>
      <c r="C961" s="10" t="s">
        <v>21</v>
      </c>
      <c r="D961" s="12" t="s">
        <v>2891</v>
      </c>
      <c r="E961" s="13" t="s">
        <v>1361</v>
      </c>
      <c r="F961" s="12" t="s">
        <v>2892</v>
      </c>
      <c r="G961" s="13"/>
      <c r="H961" s="22">
        <v>0</v>
      </c>
      <c r="I961" s="9">
        <f t="shared" ca="1" si="29"/>
        <v>0.38113873777965601</v>
      </c>
    </row>
    <row r="962" spans="1:9" ht="15.75" hidden="1" customHeight="1" x14ac:dyDescent="0.15">
      <c r="A962" s="10">
        <f t="shared" si="28"/>
        <v>961</v>
      </c>
      <c r="B962" s="11" t="s">
        <v>31</v>
      </c>
      <c r="C962" s="10" t="s">
        <v>16</v>
      </c>
      <c r="D962" s="11" t="s">
        <v>2893</v>
      </c>
      <c r="E962" s="13" t="s">
        <v>98</v>
      </c>
      <c r="F962" s="11" t="s">
        <v>2894</v>
      </c>
      <c r="G962" s="13"/>
      <c r="H962" s="22">
        <v>0</v>
      </c>
      <c r="I962" s="9">
        <f t="shared" ca="1" si="29"/>
        <v>0.58676490523181402</v>
      </c>
    </row>
    <row r="963" spans="1:9" ht="15.75" customHeight="1" x14ac:dyDescent="0.15">
      <c r="A963" s="10">
        <f t="shared" ref="A963:A1026" si="30">ROW() - 1</f>
        <v>962</v>
      </c>
      <c r="B963" s="12" t="s">
        <v>3253</v>
      </c>
      <c r="C963" s="10" t="s">
        <v>32</v>
      </c>
      <c r="D963" s="11" t="s">
        <v>2895</v>
      </c>
      <c r="E963" s="12" t="s">
        <v>286</v>
      </c>
      <c r="F963" s="11" t="s">
        <v>2896</v>
      </c>
      <c r="G963" s="13"/>
      <c r="H963" s="22">
        <v>0</v>
      </c>
      <c r="I963" s="9">
        <f t="shared" ca="1" si="29"/>
        <v>0.69410657553100163</v>
      </c>
    </row>
    <row r="964" spans="1:9" ht="15.75" customHeight="1" x14ac:dyDescent="0.15">
      <c r="A964" s="10">
        <f t="shared" si="30"/>
        <v>963</v>
      </c>
      <c r="B964" s="11" t="s">
        <v>36</v>
      </c>
      <c r="C964" s="10" t="s">
        <v>21</v>
      </c>
      <c r="D964" s="12" t="s">
        <v>2897</v>
      </c>
      <c r="E964" s="13" t="s">
        <v>134</v>
      </c>
      <c r="F964" s="12" t="s">
        <v>2898</v>
      </c>
      <c r="G964" s="13"/>
      <c r="H964" s="22">
        <v>0</v>
      </c>
      <c r="I964" s="9">
        <f t="shared" ref="I964:I1027" ca="1" si="31">RAND()</f>
        <v>0.78882002265733375</v>
      </c>
    </row>
    <row r="965" spans="1:9" ht="15.75" customHeight="1" x14ac:dyDescent="0.15">
      <c r="A965" s="10">
        <f t="shared" si="30"/>
        <v>964</v>
      </c>
      <c r="B965" s="10" t="s">
        <v>20</v>
      </c>
      <c r="C965" s="10" t="s">
        <v>27</v>
      </c>
      <c r="D965" s="11" t="s">
        <v>2899</v>
      </c>
      <c r="E965" s="15">
        <v>6</v>
      </c>
      <c r="F965" s="11" t="s">
        <v>2900</v>
      </c>
      <c r="G965" s="13"/>
      <c r="H965" s="14">
        <v>1</v>
      </c>
      <c r="I965" s="9">
        <f t="shared" ca="1" si="31"/>
        <v>0.37402470245837349</v>
      </c>
    </row>
    <row r="966" spans="1:9" ht="15.75" customHeight="1" x14ac:dyDescent="0.15">
      <c r="A966" s="10">
        <f t="shared" si="30"/>
        <v>965</v>
      </c>
      <c r="B966" s="10" t="s">
        <v>20</v>
      </c>
      <c r="C966" s="10" t="s">
        <v>21</v>
      </c>
      <c r="D966" s="11" t="s">
        <v>2901</v>
      </c>
      <c r="E966" s="13" t="s">
        <v>1187</v>
      </c>
      <c r="F966" s="11" t="s">
        <v>2902</v>
      </c>
      <c r="G966" s="13"/>
      <c r="H966" s="22">
        <v>0</v>
      </c>
      <c r="I966" s="9">
        <f t="shared" ca="1" si="31"/>
        <v>0.7883516786287823</v>
      </c>
    </row>
    <row r="967" spans="1:9" ht="15.75" hidden="1" customHeight="1" x14ac:dyDescent="0.15">
      <c r="A967" s="10">
        <f t="shared" si="30"/>
        <v>966</v>
      </c>
      <c r="B967" s="11" t="s">
        <v>36</v>
      </c>
      <c r="C967" s="10" t="s">
        <v>16</v>
      </c>
      <c r="D967" s="12" t="s">
        <v>2903</v>
      </c>
      <c r="E967" s="13" t="s">
        <v>159</v>
      </c>
      <c r="F967" s="12" t="s">
        <v>2904</v>
      </c>
      <c r="G967" s="13"/>
      <c r="H967" s="22">
        <v>0</v>
      </c>
      <c r="I967" s="9">
        <f t="shared" ca="1" si="31"/>
        <v>0.92291481083317572</v>
      </c>
    </row>
    <row r="968" spans="1:9" ht="15.75" hidden="1" customHeight="1" x14ac:dyDescent="0.15">
      <c r="A968" s="10">
        <f t="shared" si="30"/>
        <v>967</v>
      </c>
      <c r="B968" s="12" t="s">
        <v>3253</v>
      </c>
      <c r="C968" s="10" t="s">
        <v>16</v>
      </c>
      <c r="D968" s="12" t="s">
        <v>2905</v>
      </c>
      <c r="E968" s="13" t="s">
        <v>98</v>
      </c>
      <c r="F968" s="12" t="s">
        <v>2906</v>
      </c>
      <c r="G968" s="13"/>
      <c r="H968" s="22">
        <v>0</v>
      </c>
      <c r="I968" s="9">
        <f t="shared" ca="1" si="31"/>
        <v>0.33512296705833633</v>
      </c>
    </row>
    <row r="969" spans="1:9" ht="15.75" hidden="1" customHeight="1" x14ac:dyDescent="0.15">
      <c r="A969" s="10">
        <f t="shared" si="30"/>
        <v>968</v>
      </c>
      <c r="B969" s="12" t="s">
        <v>20</v>
      </c>
      <c r="C969" s="10" t="s">
        <v>16</v>
      </c>
      <c r="D969" s="12" t="s">
        <v>2907</v>
      </c>
      <c r="E969" s="13" t="s">
        <v>159</v>
      </c>
      <c r="F969" s="12" t="s">
        <v>2908</v>
      </c>
      <c r="G969" s="13"/>
      <c r="H969" s="22">
        <v>0</v>
      </c>
      <c r="I969" s="9">
        <f t="shared" ca="1" si="31"/>
        <v>0.9743978439232559</v>
      </c>
    </row>
    <row r="970" spans="1:9" ht="15.75" customHeight="1" x14ac:dyDescent="0.15">
      <c r="A970" s="10">
        <f t="shared" si="30"/>
        <v>969</v>
      </c>
      <c r="B970" s="12" t="s">
        <v>3253</v>
      </c>
      <c r="C970" s="10" t="s">
        <v>32</v>
      </c>
      <c r="D970" s="11" t="s">
        <v>2909</v>
      </c>
      <c r="E970" s="12" t="s">
        <v>174</v>
      </c>
      <c r="F970" s="11" t="s">
        <v>2910</v>
      </c>
      <c r="G970" s="13"/>
      <c r="H970" s="22">
        <v>0</v>
      </c>
      <c r="I970" s="9">
        <f t="shared" ca="1" si="31"/>
        <v>0.99595273093231484</v>
      </c>
    </row>
    <row r="971" spans="1:9" ht="15.75" customHeight="1" x14ac:dyDescent="0.15">
      <c r="A971" s="10">
        <f t="shared" si="30"/>
        <v>970</v>
      </c>
      <c r="B971" s="12" t="s">
        <v>3253</v>
      </c>
      <c r="C971" s="10" t="s">
        <v>32</v>
      </c>
      <c r="D971" s="11" t="s">
        <v>2911</v>
      </c>
      <c r="E971" s="12" t="s">
        <v>174</v>
      </c>
      <c r="F971" s="11" t="s">
        <v>2912</v>
      </c>
      <c r="G971" s="13"/>
      <c r="H971" s="22">
        <v>0</v>
      </c>
      <c r="I971" s="9">
        <f t="shared" ca="1" si="31"/>
        <v>0.22672348019740929</v>
      </c>
    </row>
    <row r="972" spans="1:9" ht="15.75" customHeight="1" x14ac:dyDescent="0.15">
      <c r="A972" s="10">
        <f t="shared" si="30"/>
        <v>971</v>
      </c>
      <c r="B972" s="11" t="s">
        <v>36</v>
      </c>
      <c r="C972" s="10" t="s">
        <v>21</v>
      </c>
      <c r="D972" s="11" t="s">
        <v>2913</v>
      </c>
      <c r="E972" s="13" t="s">
        <v>560</v>
      </c>
      <c r="F972" s="12" t="s">
        <v>2914</v>
      </c>
      <c r="G972" s="13"/>
      <c r="H972" s="22">
        <v>0</v>
      </c>
      <c r="I972" s="9">
        <f t="shared" ca="1" si="31"/>
        <v>0.30711486167636048</v>
      </c>
    </row>
    <row r="973" spans="1:9" ht="15.75" hidden="1" customHeight="1" x14ac:dyDescent="0.15">
      <c r="A973" s="10">
        <f t="shared" si="30"/>
        <v>972</v>
      </c>
      <c r="B973" s="12" t="s">
        <v>3253</v>
      </c>
      <c r="C973" s="10" t="s">
        <v>16</v>
      </c>
      <c r="D973" s="12" t="s">
        <v>2915</v>
      </c>
      <c r="E973" s="13" t="s">
        <v>127</v>
      </c>
      <c r="F973" s="12" t="s">
        <v>2916</v>
      </c>
      <c r="G973" s="13"/>
      <c r="H973" s="22">
        <v>0</v>
      </c>
      <c r="I973" s="9">
        <f t="shared" ca="1" si="31"/>
        <v>0.87919886027936722</v>
      </c>
    </row>
    <row r="974" spans="1:9" ht="15.75" hidden="1" customHeight="1" x14ac:dyDescent="0.15">
      <c r="A974" s="10">
        <f t="shared" si="30"/>
        <v>973</v>
      </c>
      <c r="B974" s="10" t="s">
        <v>20</v>
      </c>
      <c r="C974" s="10" t="s">
        <v>16</v>
      </c>
      <c r="D974" s="11" t="s">
        <v>2917</v>
      </c>
      <c r="E974" s="13" t="s">
        <v>159</v>
      </c>
      <c r="F974" s="11" t="s">
        <v>2918</v>
      </c>
      <c r="G974" s="13"/>
      <c r="H974" s="14">
        <v>1</v>
      </c>
      <c r="I974" s="9">
        <f t="shared" ca="1" si="31"/>
        <v>0.32621978657001693</v>
      </c>
    </row>
    <row r="975" spans="1:9" ht="15.75" customHeight="1" x14ac:dyDescent="0.15">
      <c r="A975" s="10">
        <f t="shared" si="30"/>
        <v>974</v>
      </c>
      <c r="B975" s="12" t="s">
        <v>3253</v>
      </c>
      <c r="C975" s="10" t="s">
        <v>27</v>
      </c>
      <c r="D975" s="11" t="s">
        <v>2919</v>
      </c>
      <c r="E975" s="11" t="s">
        <v>2920</v>
      </c>
      <c r="F975" s="11" t="s">
        <v>2921</v>
      </c>
      <c r="G975" s="13"/>
      <c r="H975" s="22">
        <v>0</v>
      </c>
      <c r="I975" s="9">
        <f t="shared" ca="1" si="31"/>
        <v>0.50305121772151173</v>
      </c>
    </row>
    <row r="976" spans="1:9" ht="15.75" customHeight="1" x14ac:dyDescent="0.15">
      <c r="A976" s="10">
        <f t="shared" si="30"/>
        <v>975</v>
      </c>
      <c r="B976" s="11" t="s">
        <v>31</v>
      </c>
      <c r="C976" s="10" t="s">
        <v>32</v>
      </c>
      <c r="D976" s="11" t="s">
        <v>2922</v>
      </c>
      <c r="E976" s="12" t="s">
        <v>174</v>
      </c>
      <c r="F976" s="11" t="s">
        <v>2923</v>
      </c>
      <c r="G976" s="13"/>
      <c r="H976" s="22">
        <v>0</v>
      </c>
      <c r="I976" s="9">
        <f t="shared" ca="1" si="31"/>
        <v>0.11842046608559809</v>
      </c>
    </row>
    <row r="977" spans="1:9" ht="15.75" hidden="1" customHeight="1" x14ac:dyDescent="0.15">
      <c r="A977" s="10">
        <f t="shared" si="30"/>
        <v>976</v>
      </c>
      <c r="B977" s="11" t="s">
        <v>36</v>
      </c>
      <c r="C977" s="10" t="s">
        <v>16</v>
      </c>
      <c r="D977" s="12" t="s">
        <v>2924</v>
      </c>
      <c r="E977" s="13" t="s">
        <v>98</v>
      </c>
      <c r="F977" s="12" t="s">
        <v>2925</v>
      </c>
      <c r="G977" s="13"/>
      <c r="H977" s="22">
        <v>0</v>
      </c>
      <c r="I977" s="9">
        <f t="shared" ca="1" si="31"/>
        <v>0.12835307401450557</v>
      </c>
    </row>
    <row r="978" spans="1:9" ht="15.75" customHeight="1" x14ac:dyDescent="0.15">
      <c r="A978" s="10">
        <f t="shared" si="30"/>
        <v>977</v>
      </c>
      <c r="B978" s="11" t="s">
        <v>36</v>
      </c>
      <c r="C978" s="10" t="s">
        <v>27</v>
      </c>
      <c r="D978" s="12" t="s">
        <v>2926</v>
      </c>
      <c r="E978" s="12" t="s">
        <v>2927</v>
      </c>
      <c r="F978" s="12" t="s">
        <v>2928</v>
      </c>
      <c r="G978" s="13"/>
      <c r="H978" s="22">
        <v>0</v>
      </c>
      <c r="I978" s="9">
        <f t="shared" ca="1" si="31"/>
        <v>0.15496575347846697</v>
      </c>
    </row>
    <row r="979" spans="1:9" ht="15.75" customHeight="1" x14ac:dyDescent="0.15">
      <c r="A979" s="10">
        <f t="shared" si="30"/>
        <v>978</v>
      </c>
      <c r="B979" s="10" t="s">
        <v>20</v>
      </c>
      <c r="C979" s="10" t="s">
        <v>32</v>
      </c>
      <c r="D979" s="11" t="s">
        <v>2929</v>
      </c>
      <c r="E979" s="12" t="s">
        <v>286</v>
      </c>
      <c r="F979" s="11" t="s">
        <v>2930</v>
      </c>
      <c r="G979" s="13"/>
      <c r="H979" s="22">
        <v>0</v>
      </c>
      <c r="I979" s="9">
        <f t="shared" ca="1" si="31"/>
        <v>0.49537582343770836</v>
      </c>
    </row>
    <row r="980" spans="1:9" ht="15.75" customHeight="1" x14ac:dyDescent="0.15">
      <c r="A980" s="10">
        <f t="shared" si="30"/>
        <v>979</v>
      </c>
      <c r="B980" s="10" t="s">
        <v>20</v>
      </c>
      <c r="C980" s="10" t="s">
        <v>21</v>
      </c>
      <c r="D980" s="11" t="s">
        <v>2931</v>
      </c>
      <c r="E980" s="13" t="s">
        <v>129</v>
      </c>
      <c r="F980" s="11" t="s">
        <v>2932</v>
      </c>
      <c r="G980" s="13"/>
      <c r="H980" s="22">
        <v>0</v>
      </c>
      <c r="I980" s="9">
        <f t="shared" ca="1" si="31"/>
        <v>0.73395766579622101</v>
      </c>
    </row>
    <row r="981" spans="1:9" ht="15.75" customHeight="1" x14ac:dyDescent="0.15">
      <c r="A981" s="10">
        <f t="shared" si="30"/>
        <v>980</v>
      </c>
      <c r="B981" s="11" t="s">
        <v>36</v>
      </c>
      <c r="C981" s="10" t="s">
        <v>27</v>
      </c>
      <c r="D981" s="11" t="s">
        <v>2933</v>
      </c>
      <c r="E981" s="11" t="s">
        <v>2934</v>
      </c>
      <c r="F981" s="11" t="s">
        <v>2935</v>
      </c>
      <c r="G981" s="13"/>
      <c r="H981" s="22">
        <v>0</v>
      </c>
      <c r="I981" s="9">
        <f t="shared" ca="1" si="31"/>
        <v>5.6506596050591607E-2</v>
      </c>
    </row>
    <row r="982" spans="1:9" ht="15.75" customHeight="1" x14ac:dyDescent="0.15">
      <c r="A982" s="10">
        <f t="shared" si="30"/>
        <v>981</v>
      </c>
      <c r="B982" s="11" t="s">
        <v>31</v>
      </c>
      <c r="C982" s="10" t="s">
        <v>21</v>
      </c>
      <c r="D982" s="12" t="s">
        <v>2936</v>
      </c>
      <c r="E982" s="13" t="s">
        <v>1187</v>
      </c>
      <c r="F982" s="12" t="s">
        <v>2937</v>
      </c>
      <c r="G982" s="13"/>
      <c r="H982" s="22">
        <v>0</v>
      </c>
      <c r="I982" s="9">
        <f t="shared" ca="1" si="31"/>
        <v>0.58903645252273007</v>
      </c>
    </row>
    <row r="983" spans="1:9" ht="15.75" hidden="1" customHeight="1" x14ac:dyDescent="0.15">
      <c r="A983" s="10">
        <f t="shared" si="30"/>
        <v>982</v>
      </c>
      <c r="B983" s="12" t="s">
        <v>3253</v>
      </c>
      <c r="C983" s="10" t="s">
        <v>11</v>
      </c>
      <c r="D983" s="12" t="s">
        <v>2938</v>
      </c>
      <c r="E983" s="12" t="s">
        <v>2939</v>
      </c>
      <c r="F983" s="11" t="s">
        <v>2940</v>
      </c>
      <c r="G983" s="13"/>
      <c r="H983" s="22">
        <v>0</v>
      </c>
      <c r="I983" s="9">
        <f t="shared" ca="1" si="31"/>
        <v>0.51403194222271043</v>
      </c>
    </row>
    <row r="984" spans="1:9" ht="15.75" customHeight="1" x14ac:dyDescent="0.15">
      <c r="A984" s="10">
        <f t="shared" si="30"/>
        <v>983</v>
      </c>
      <c r="B984" s="12" t="s">
        <v>3253</v>
      </c>
      <c r="C984" s="10" t="s">
        <v>32</v>
      </c>
      <c r="D984" s="11" t="s">
        <v>2941</v>
      </c>
      <c r="E984" s="12" t="s">
        <v>286</v>
      </c>
      <c r="F984" s="11" t="s">
        <v>2942</v>
      </c>
      <c r="G984" s="13"/>
      <c r="H984" s="22">
        <v>0</v>
      </c>
      <c r="I984" s="9">
        <f t="shared" ca="1" si="31"/>
        <v>0.13883243566135106</v>
      </c>
    </row>
    <row r="985" spans="1:9" ht="15.75" hidden="1" customHeight="1" x14ac:dyDescent="0.15">
      <c r="A985" s="10">
        <f t="shared" si="30"/>
        <v>984</v>
      </c>
      <c r="B985" s="12" t="s">
        <v>3253</v>
      </c>
      <c r="C985" s="10" t="s">
        <v>16</v>
      </c>
      <c r="D985" s="12" t="s">
        <v>2943</v>
      </c>
      <c r="E985" s="13" t="s">
        <v>98</v>
      </c>
      <c r="F985" s="12" t="s">
        <v>2944</v>
      </c>
      <c r="G985" s="13"/>
      <c r="H985" s="22">
        <v>0</v>
      </c>
      <c r="I985" s="9">
        <f t="shared" ca="1" si="31"/>
        <v>0.9864887843622987</v>
      </c>
    </row>
    <row r="986" spans="1:9" ht="15.75" hidden="1" customHeight="1" x14ac:dyDescent="0.15">
      <c r="A986" s="10">
        <f t="shared" si="30"/>
        <v>985</v>
      </c>
      <c r="B986" s="11" t="s">
        <v>36</v>
      </c>
      <c r="C986" s="10" t="s">
        <v>16</v>
      </c>
      <c r="D986" s="11" t="s">
        <v>2945</v>
      </c>
      <c r="E986" s="13" t="s">
        <v>127</v>
      </c>
      <c r="F986" s="11" t="s">
        <v>2946</v>
      </c>
      <c r="G986" s="13"/>
      <c r="H986" s="14">
        <v>1</v>
      </c>
      <c r="I986" s="9">
        <f t="shared" ca="1" si="31"/>
        <v>0.45025118762539196</v>
      </c>
    </row>
    <row r="987" spans="1:9" ht="15.75" customHeight="1" x14ac:dyDescent="0.15">
      <c r="A987" s="10">
        <f t="shared" si="30"/>
        <v>986</v>
      </c>
      <c r="B987" s="12" t="s">
        <v>1266</v>
      </c>
      <c r="C987" s="10" t="s">
        <v>21</v>
      </c>
      <c r="D987" s="12" t="s">
        <v>2947</v>
      </c>
      <c r="E987" s="13" t="s">
        <v>1361</v>
      </c>
      <c r="F987" s="12" t="s">
        <v>2948</v>
      </c>
      <c r="G987" s="13"/>
      <c r="H987" s="22">
        <v>0</v>
      </c>
      <c r="I987" s="9">
        <f t="shared" ca="1" si="31"/>
        <v>0.22300132759338709</v>
      </c>
    </row>
    <row r="988" spans="1:9" ht="15.75" customHeight="1" x14ac:dyDescent="0.15">
      <c r="A988" s="10">
        <f t="shared" si="30"/>
        <v>987</v>
      </c>
      <c r="B988" s="11" t="s">
        <v>31</v>
      </c>
      <c r="C988" s="10" t="s">
        <v>21</v>
      </c>
      <c r="D988" s="11" t="s">
        <v>2949</v>
      </c>
      <c r="E988" s="13" t="s">
        <v>1361</v>
      </c>
      <c r="F988" s="11" t="s">
        <v>2950</v>
      </c>
      <c r="G988" s="13"/>
      <c r="H988" s="22">
        <v>0</v>
      </c>
      <c r="I988" s="9">
        <f t="shared" ca="1" si="31"/>
        <v>0.16089008829684892</v>
      </c>
    </row>
    <row r="989" spans="1:9" ht="15.75" hidden="1" customHeight="1" x14ac:dyDescent="0.15">
      <c r="A989" s="10">
        <f t="shared" si="30"/>
        <v>988</v>
      </c>
      <c r="B989" s="11" t="s">
        <v>31</v>
      </c>
      <c r="C989" s="10" t="s">
        <v>16</v>
      </c>
      <c r="D989" s="12" t="s">
        <v>2951</v>
      </c>
      <c r="E989" s="13" t="s">
        <v>98</v>
      </c>
      <c r="F989" s="12" t="s">
        <v>2952</v>
      </c>
      <c r="G989" s="13"/>
      <c r="H989" s="22">
        <v>0</v>
      </c>
      <c r="I989" s="9">
        <f t="shared" ca="1" si="31"/>
        <v>0.44392520261947521</v>
      </c>
    </row>
    <row r="990" spans="1:9" ht="15.75" customHeight="1" x14ac:dyDescent="0.15">
      <c r="A990" s="10">
        <f t="shared" si="30"/>
        <v>989</v>
      </c>
      <c r="B990" s="10" t="s">
        <v>20</v>
      </c>
      <c r="C990" s="10" t="s">
        <v>32</v>
      </c>
      <c r="D990" s="11" t="s">
        <v>2953</v>
      </c>
      <c r="E990" s="12" t="s">
        <v>174</v>
      </c>
      <c r="F990" s="11" t="s">
        <v>2954</v>
      </c>
      <c r="G990" s="13"/>
      <c r="H990" s="22">
        <v>0</v>
      </c>
      <c r="I990" s="9">
        <f t="shared" ca="1" si="31"/>
        <v>0.61220143522504533</v>
      </c>
    </row>
    <row r="991" spans="1:9" ht="15.75" hidden="1" customHeight="1" x14ac:dyDescent="0.15">
      <c r="A991" s="10">
        <f t="shared" si="30"/>
        <v>990</v>
      </c>
      <c r="B991" s="12" t="s">
        <v>3253</v>
      </c>
      <c r="C991" s="10" t="s">
        <v>11</v>
      </c>
      <c r="D991" s="12" t="s">
        <v>2955</v>
      </c>
      <c r="E991" s="12" t="s">
        <v>2956</v>
      </c>
      <c r="F991" s="11" t="s">
        <v>2957</v>
      </c>
      <c r="G991" s="13"/>
      <c r="H991" s="22">
        <v>0</v>
      </c>
      <c r="I991" s="9">
        <f t="shared" ca="1" si="31"/>
        <v>0.73967648115518325</v>
      </c>
    </row>
    <row r="992" spans="1:9" ht="15.75" hidden="1" customHeight="1" x14ac:dyDescent="0.15">
      <c r="A992" s="10">
        <f t="shared" si="30"/>
        <v>991</v>
      </c>
      <c r="B992" s="12" t="s">
        <v>3253</v>
      </c>
      <c r="C992" s="10" t="s">
        <v>16</v>
      </c>
      <c r="D992" s="12" t="s">
        <v>2958</v>
      </c>
      <c r="E992" s="13" t="s">
        <v>106</v>
      </c>
      <c r="F992" s="12" t="s">
        <v>2959</v>
      </c>
      <c r="G992" s="13"/>
      <c r="H992" s="22">
        <v>0</v>
      </c>
      <c r="I992" s="9">
        <f t="shared" ca="1" si="31"/>
        <v>0.84498541497730251</v>
      </c>
    </row>
    <row r="993" spans="1:9" ht="15.75" customHeight="1" x14ac:dyDescent="0.15">
      <c r="A993" s="10">
        <f t="shared" si="30"/>
        <v>992</v>
      </c>
      <c r="B993" s="10" t="s">
        <v>20</v>
      </c>
      <c r="C993" s="10" t="s">
        <v>21</v>
      </c>
      <c r="D993" s="12" t="s">
        <v>2960</v>
      </c>
      <c r="E993" s="13" t="s">
        <v>132</v>
      </c>
      <c r="F993" s="12" t="s">
        <v>2961</v>
      </c>
      <c r="G993" s="13"/>
      <c r="H993" s="22">
        <v>0</v>
      </c>
      <c r="I993" s="9">
        <f t="shared" ca="1" si="31"/>
        <v>0.94360711493411842</v>
      </c>
    </row>
    <row r="994" spans="1:9" ht="15.75" customHeight="1" x14ac:dyDescent="0.15">
      <c r="A994" s="10">
        <f t="shared" si="30"/>
        <v>993</v>
      </c>
      <c r="B994" s="12" t="s">
        <v>1266</v>
      </c>
      <c r="C994" s="10" t="s">
        <v>27</v>
      </c>
      <c r="D994" s="12" t="s">
        <v>2962</v>
      </c>
      <c r="E994" s="12" t="s">
        <v>2963</v>
      </c>
      <c r="F994" s="12" t="s">
        <v>2964</v>
      </c>
      <c r="G994" s="13"/>
      <c r="H994" s="22">
        <v>0</v>
      </c>
      <c r="I994" s="9">
        <f t="shared" ca="1" si="31"/>
        <v>0.77774624302308526</v>
      </c>
    </row>
    <row r="995" spans="1:9" ht="15.75" customHeight="1" x14ac:dyDescent="0.15">
      <c r="A995" s="10">
        <f t="shared" si="30"/>
        <v>994</v>
      </c>
      <c r="B995" s="11" t="s">
        <v>36</v>
      </c>
      <c r="C995" s="10" t="s">
        <v>32</v>
      </c>
      <c r="D995" s="11" t="s">
        <v>2965</v>
      </c>
      <c r="E995" s="12" t="s">
        <v>174</v>
      </c>
      <c r="F995" s="11" t="s">
        <v>2966</v>
      </c>
      <c r="G995" s="13"/>
      <c r="H995" s="22">
        <v>0</v>
      </c>
      <c r="I995" s="9">
        <f t="shared" ca="1" si="31"/>
        <v>0.81479514201486114</v>
      </c>
    </row>
    <row r="996" spans="1:9" ht="15.75" customHeight="1" x14ac:dyDescent="0.15">
      <c r="A996" s="10">
        <f t="shared" si="30"/>
        <v>995</v>
      </c>
      <c r="B996" s="12" t="s">
        <v>3253</v>
      </c>
      <c r="C996" s="10" t="s">
        <v>27</v>
      </c>
      <c r="D996" s="11" t="s">
        <v>2967</v>
      </c>
      <c r="E996" s="12" t="s">
        <v>2968</v>
      </c>
      <c r="F996" s="12" t="s">
        <v>2969</v>
      </c>
      <c r="G996" s="13"/>
      <c r="H996" s="22">
        <v>0</v>
      </c>
      <c r="I996" s="9">
        <f t="shared" ca="1" si="31"/>
        <v>0.10788609824115103</v>
      </c>
    </row>
    <row r="997" spans="1:9" ht="15.75" hidden="1" customHeight="1" x14ac:dyDescent="0.15">
      <c r="A997" s="10">
        <f t="shared" si="30"/>
        <v>996</v>
      </c>
      <c r="B997" s="11" t="s">
        <v>36</v>
      </c>
      <c r="C997" s="10" t="s">
        <v>16</v>
      </c>
      <c r="D997" s="12" t="s">
        <v>2970</v>
      </c>
      <c r="E997" s="13" t="s">
        <v>127</v>
      </c>
      <c r="F997" s="12" t="s">
        <v>2971</v>
      </c>
      <c r="G997" s="13"/>
      <c r="H997" s="22">
        <v>0</v>
      </c>
      <c r="I997" s="9">
        <f t="shared" ca="1" si="31"/>
        <v>0.87813001050381878</v>
      </c>
    </row>
    <row r="998" spans="1:9" ht="15.75" customHeight="1" x14ac:dyDescent="0.15">
      <c r="A998" s="10">
        <f t="shared" si="30"/>
        <v>997</v>
      </c>
      <c r="B998" s="11" t="s">
        <v>36</v>
      </c>
      <c r="C998" s="10" t="s">
        <v>27</v>
      </c>
      <c r="D998" s="11" t="s">
        <v>2972</v>
      </c>
      <c r="E998" s="11" t="s">
        <v>2973</v>
      </c>
      <c r="F998" s="11" t="s">
        <v>2974</v>
      </c>
      <c r="G998" s="13"/>
      <c r="H998" s="22">
        <v>0</v>
      </c>
      <c r="I998" s="9">
        <f t="shared" ca="1" si="31"/>
        <v>0.55012403214916228</v>
      </c>
    </row>
    <row r="999" spans="1:9" ht="15.75" customHeight="1" x14ac:dyDescent="0.15">
      <c r="A999" s="10">
        <f t="shared" si="30"/>
        <v>998</v>
      </c>
      <c r="B999" s="11" t="s">
        <v>36</v>
      </c>
      <c r="C999" s="10" t="s">
        <v>32</v>
      </c>
      <c r="D999" s="11" t="s">
        <v>2975</v>
      </c>
      <c r="E999" s="12" t="s">
        <v>174</v>
      </c>
      <c r="F999" s="11" t="s">
        <v>2976</v>
      </c>
      <c r="G999" s="13"/>
      <c r="H999" s="22">
        <v>0</v>
      </c>
      <c r="I999" s="9">
        <f t="shared" ca="1" si="31"/>
        <v>0.68875090946467166</v>
      </c>
    </row>
    <row r="1000" spans="1:9" ht="15.75" hidden="1" customHeight="1" x14ac:dyDescent="0.15">
      <c r="A1000" s="10">
        <f t="shared" si="30"/>
        <v>999</v>
      </c>
      <c r="B1000" s="12" t="s">
        <v>3253</v>
      </c>
      <c r="C1000" s="10" t="s">
        <v>16</v>
      </c>
      <c r="D1000" s="12" t="s">
        <v>2977</v>
      </c>
      <c r="E1000" s="13" t="s">
        <v>98</v>
      </c>
      <c r="F1000" s="12" t="s">
        <v>2978</v>
      </c>
      <c r="G1000" s="13"/>
      <c r="H1000" s="22">
        <v>0</v>
      </c>
      <c r="I1000" s="9">
        <f t="shared" ca="1" si="31"/>
        <v>0.85199040052061481</v>
      </c>
    </row>
    <row r="1001" spans="1:9" ht="15.75" hidden="1" customHeight="1" x14ac:dyDescent="0.15">
      <c r="A1001" s="10">
        <f t="shared" si="30"/>
        <v>1000</v>
      </c>
      <c r="B1001" s="12" t="s">
        <v>3253</v>
      </c>
      <c r="C1001" s="10" t="s">
        <v>16</v>
      </c>
      <c r="D1001" s="12" t="s">
        <v>2979</v>
      </c>
      <c r="E1001" s="13" t="s">
        <v>98</v>
      </c>
      <c r="F1001" s="12" t="s">
        <v>2980</v>
      </c>
      <c r="G1001" s="13"/>
      <c r="H1001" s="22">
        <v>0</v>
      </c>
      <c r="I1001" s="9">
        <f t="shared" ca="1" si="31"/>
        <v>0.13798307495950379</v>
      </c>
    </row>
    <row r="1002" spans="1:9" ht="15.75" customHeight="1" x14ac:dyDescent="0.15">
      <c r="A1002" s="10">
        <f t="shared" si="30"/>
        <v>1001</v>
      </c>
      <c r="B1002" s="12" t="s">
        <v>3253</v>
      </c>
      <c r="C1002" s="10" t="s">
        <v>27</v>
      </c>
      <c r="D1002" s="11" t="s">
        <v>2981</v>
      </c>
      <c r="E1002" s="11" t="s">
        <v>2640</v>
      </c>
      <c r="F1002" s="11" t="s">
        <v>2982</v>
      </c>
      <c r="G1002" s="13"/>
      <c r="H1002" s="22">
        <v>0</v>
      </c>
      <c r="I1002" s="9">
        <f t="shared" ca="1" si="31"/>
        <v>0.97571938798557611</v>
      </c>
    </row>
    <row r="1003" spans="1:9" ht="15.75" customHeight="1" x14ac:dyDescent="0.15">
      <c r="A1003" s="10">
        <f t="shared" si="30"/>
        <v>1002</v>
      </c>
      <c r="B1003" s="12" t="s">
        <v>1266</v>
      </c>
      <c r="C1003" s="10" t="s">
        <v>21</v>
      </c>
      <c r="D1003" s="11" t="s">
        <v>2983</v>
      </c>
      <c r="E1003" s="13" t="s">
        <v>620</v>
      </c>
      <c r="F1003" s="12" t="s">
        <v>2984</v>
      </c>
      <c r="G1003" s="13"/>
      <c r="H1003" s="22">
        <v>0</v>
      </c>
      <c r="I1003" s="9">
        <f t="shared" ca="1" si="31"/>
        <v>0.54231614436508968</v>
      </c>
    </row>
    <row r="1004" spans="1:9" ht="15.75" customHeight="1" x14ac:dyDescent="0.15">
      <c r="A1004" s="10">
        <f t="shared" si="30"/>
        <v>1003</v>
      </c>
      <c r="B1004" s="12" t="s">
        <v>1266</v>
      </c>
      <c r="C1004" s="10" t="s">
        <v>21</v>
      </c>
      <c r="D1004" s="11" t="s">
        <v>2985</v>
      </c>
      <c r="E1004" s="13" t="s">
        <v>241</v>
      </c>
      <c r="F1004" s="11" t="s">
        <v>2986</v>
      </c>
      <c r="G1004" s="13"/>
      <c r="H1004" s="22">
        <v>0</v>
      </c>
      <c r="I1004" s="9">
        <f t="shared" ca="1" si="31"/>
        <v>0.70310157577847121</v>
      </c>
    </row>
    <row r="1005" spans="1:9" ht="15.75" customHeight="1" x14ac:dyDescent="0.15">
      <c r="A1005" s="10">
        <f t="shared" si="30"/>
        <v>1004</v>
      </c>
      <c r="B1005" s="10" t="s">
        <v>20</v>
      </c>
      <c r="C1005" s="10" t="s">
        <v>21</v>
      </c>
      <c r="D1005" s="12" t="s">
        <v>2987</v>
      </c>
      <c r="E1005" s="13" t="s">
        <v>1187</v>
      </c>
      <c r="F1005" s="12" t="s">
        <v>2988</v>
      </c>
      <c r="G1005" s="13"/>
      <c r="H1005" s="22">
        <v>0</v>
      </c>
      <c r="I1005" s="9">
        <f t="shared" ca="1" si="31"/>
        <v>0.84657512702563154</v>
      </c>
    </row>
    <row r="1006" spans="1:9" ht="15.75" customHeight="1" x14ac:dyDescent="0.15">
      <c r="A1006" s="10">
        <f t="shared" si="30"/>
        <v>1005</v>
      </c>
      <c r="B1006" s="10" t="s">
        <v>20</v>
      </c>
      <c r="C1006" s="10" t="s">
        <v>27</v>
      </c>
      <c r="D1006" s="11" t="s">
        <v>2989</v>
      </c>
      <c r="E1006" s="15">
        <v>16</v>
      </c>
      <c r="F1006" s="11" t="s">
        <v>2990</v>
      </c>
      <c r="G1006" s="13"/>
      <c r="H1006" s="14">
        <v>1</v>
      </c>
      <c r="I1006" s="9">
        <f t="shared" ca="1" si="31"/>
        <v>0.74603995038522397</v>
      </c>
    </row>
    <row r="1007" spans="1:9" ht="15.75" hidden="1" customHeight="1" x14ac:dyDescent="0.15">
      <c r="A1007" s="10">
        <f t="shared" si="30"/>
        <v>1006</v>
      </c>
      <c r="B1007" s="17" t="s">
        <v>20</v>
      </c>
      <c r="C1007" s="10" t="s">
        <v>16</v>
      </c>
      <c r="D1007" s="12" t="s">
        <v>2991</v>
      </c>
      <c r="E1007" s="13" t="s">
        <v>98</v>
      </c>
      <c r="F1007" s="12" t="s">
        <v>2992</v>
      </c>
      <c r="G1007" s="13"/>
      <c r="H1007" s="22">
        <v>0</v>
      </c>
      <c r="I1007" s="9">
        <f t="shared" ca="1" si="31"/>
        <v>0.76836749519181957</v>
      </c>
    </row>
    <row r="1008" spans="1:9" ht="15.75" hidden="1" customHeight="1" x14ac:dyDescent="0.15">
      <c r="A1008" s="10">
        <f t="shared" si="30"/>
        <v>1007</v>
      </c>
      <c r="B1008" s="10" t="s">
        <v>20</v>
      </c>
      <c r="C1008" s="10" t="s">
        <v>11</v>
      </c>
      <c r="D1008" s="12" t="s">
        <v>2993</v>
      </c>
      <c r="E1008" s="12" t="s">
        <v>2994</v>
      </c>
      <c r="F1008" s="11" t="s">
        <v>2995</v>
      </c>
      <c r="G1008" s="13"/>
      <c r="H1008" s="22">
        <v>0</v>
      </c>
      <c r="I1008" s="9">
        <f t="shared" ca="1" si="31"/>
        <v>0.17711760029820989</v>
      </c>
    </row>
    <row r="1009" spans="1:9" ht="15.75" customHeight="1" x14ac:dyDescent="0.15">
      <c r="A1009" s="10">
        <f t="shared" si="30"/>
        <v>1008</v>
      </c>
      <c r="B1009" s="12" t="s">
        <v>1266</v>
      </c>
      <c r="C1009" s="10" t="s">
        <v>27</v>
      </c>
      <c r="D1009" s="12" t="s">
        <v>2996</v>
      </c>
      <c r="E1009" s="12" t="s">
        <v>2997</v>
      </c>
      <c r="F1009" s="12" t="s">
        <v>2998</v>
      </c>
      <c r="G1009" s="13"/>
      <c r="H1009" s="22">
        <v>0</v>
      </c>
      <c r="I1009" s="9">
        <f t="shared" ca="1" si="31"/>
        <v>5.7422767028795785E-2</v>
      </c>
    </row>
    <row r="1010" spans="1:9" ht="15.75" hidden="1" customHeight="1" x14ac:dyDescent="0.15">
      <c r="A1010" s="10">
        <f t="shared" si="30"/>
        <v>1009</v>
      </c>
      <c r="B1010" s="11" t="s">
        <v>36</v>
      </c>
      <c r="C1010" s="10" t="s">
        <v>16</v>
      </c>
      <c r="D1010" s="11" t="s">
        <v>2999</v>
      </c>
      <c r="E1010" s="13" t="s">
        <v>98</v>
      </c>
      <c r="F1010" s="11" t="s">
        <v>3000</v>
      </c>
      <c r="G1010" s="13"/>
      <c r="H1010" s="14">
        <v>1</v>
      </c>
      <c r="I1010" s="9">
        <f t="shared" ca="1" si="31"/>
        <v>0.69598579539484851</v>
      </c>
    </row>
    <row r="1011" spans="1:9" ht="15.75" customHeight="1" x14ac:dyDescent="0.15">
      <c r="A1011" s="10">
        <f t="shared" si="30"/>
        <v>1010</v>
      </c>
      <c r="B1011" s="12" t="s">
        <v>3253</v>
      </c>
      <c r="C1011" s="10" t="s">
        <v>27</v>
      </c>
      <c r="D1011" s="11" t="s">
        <v>3001</v>
      </c>
      <c r="E1011" s="11" t="s">
        <v>3002</v>
      </c>
      <c r="F1011" s="11" t="s">
        <v>3003</v>
      </c>
      <c r="G1011" s="13"/>
      <c r="H1011" s="22">
        <v>0</v>
      </c>
      <c r="I1011" s="9">
        <f t="shared" ca="1" si="31"/>
        <v>0.98655966324650146</v>
      </c>
    </row>
    <row r="1012" spans="1:9" ht="15.75" customHeight="1" x14ac:dyDescent="0.15">
      <c r="A1012" s="10">
        <f t="shared" si="30"/>
        <v>1011</v>
      </c>
      <c r="B1012" s="11" t="s">
        <v>31</v>
      </c>
      <c r="C1012" s="10" t="s">
        <v>27</v>
      </c>
      <c r="D1012" s="11" t="s">
        <v>3004</v>
      </c>
      <c r="E1012" s="12" t="s">
        <v>3005</v>
      </c>
      <c r="F1012" s="11" t="s">
        <v>3006</v>
      </c>
      <c r="G1012" s="13"/>
      <c r="H1012" s="22">
        <v>0</v>
      </c>
      <c r="I1012" s="9">
        <f t="shared" ca="1" si="31"/>
        <v>0.51419422308585472</v>
      </c>
    </row>
    <row r="1013" spans="1:9" ht="15.75" hidden="1" customHeight="1" x14ac:dyDescent="0.15">
      <c r="A1013" s="10">
        <f t="shared" si="30"/>
        <v>1012</v>
      </c>
      <c r="B1013" s="10" t="s">
        <v>20</v>
      </c>
      <c r="C1013" s="10" t="s">
        <v>11</v>
      </c>
      <c r="D1013" s="11" t="s">
        <v>3007</v>
      </c>
      <c r="E1013" s="11" t="s">
        <v>3008</v>
      </c>
      <c r="F1013" s="11" t="s">
        <v>3009</v>
      </c>
      <c r="G1013" s="13"/>
      <c r="H1013" s="14">
        <v>1</v>
      </c>
      <c r="I1013" s="9">
        <f t="shared" ca="1" si="31"/>
        <v>0.10085468651481366</v>
      </c>
    </row>
    <row r="1014" spans="1:9" ht="15.75" hidden="1" customHeight="1" x14ac:dyDescent="0.15">
      <c r="A1014" s="10">
        <f t="shared" si="30"/>
        <v>1013</v>
      </c>
      <c r="B1014" s="11" t="s">
        <v>36</v>
      </c>
      <c r="C1014" s="10" t="s">
        <v>11</v>
      </c>
      <c r="D1014" s="11" t="s">
        <v>3010</v>
      </c>
      <c r="E1014" s="12" t="s">
        <v>3011</v>
      </c>
      <c r="F1014" s="11" t="s">
        <v>3012</v>
      </c>
      <c r="G1014" s="13"/>
      <c r="H1014" s="22">
        <v>0</v>
      </c>
      <c r="I1014" s="9">
        <f t="shared" ca="1" si="31"/>
        <v>0.84677243476784725</v>
      </c>
    </row>
    <row r="1015" spans="1:9" ht="15.75" hidden="1" customHeight="1" x14ac:dyDescent="0.15">
      <c r="A1015" s="10">
        <f t="shared" si="30"/>
        <v>1014</v>
      </c>
      <c r="B1015" s="10" t="s">
        <v>20</v>
      </c>
      <c r="C1015" s="10" t="s">
        <v>16</v>
      </c>
      <c r="D1015" s="12" t="s">
        <v>3013</v>
      </c>
      <c r="E1015" s="13" t="s">
        <v>98</v>
      </c>
      <c r="F1015" s="12" t="s">
        <v>3014</v>
      </c>
      <c r="G1015" s="13"/>
      <c r="H1015" s="22">
        <v>0</v>
      </c>
      <c r="I1015" s="9">
        <f t="shared" ca="1" si="31"/>
        <v>0.13978028486149041</v>
      </c>
    </row>
    <row r="1016" spans="1:9" ht="15.75" customHeight="1" x14ac:dyDescent="0.15">
      <c r="A1016" s="10">
        <f t="shared" si="30"/>
        <v>1015</v>
      </c>
      <c r="B1016" s="10" t="s">
        <v>20</v>
      </c>
      <c r="C1016" s="10" t="s">
        <v>27</v>
      </c>
      <c r="D1016" s="11" t="s">
        <v>3015</v>
      </c>
      <c r="E1016" s="15">
        <v>6.6</v>
      </c>
      <c r="F1016" s="11" t="s">
        <v>3016</v>
      </c>
      <c r="G1016" s="13"/>
      <c r="H1016" s="14">
        <v>1</v>
      </c>
      <c r="I1016" s="9">
        <f t="shared" ca="1" si="31"/>
        <v>0.20332199939310247</v>
      </c>
    </row>
    <row r="1017" spans="1:9" ht="15.75" hidden="1" customHeight="1" x14ac:dyDescent="0.15">
      <c r="A1017" s="10">
        <f t="shared" si="30"/>
        <v>1016</v>
      </c>
      <c r="B1017" s="12" t="s">
        <v>20</v>
      </c>
      <c r="C1017" s="10" t="s">
        <v>16</v>
      </c>
      <c r="D1017" s="12" t="s">
        <v>3017</v>
      </c>
      <c r="E1017" s="13" t="s">
        <v>106</v>
      </c>
      <c r="F1017" s="12" t="s">
        <v>3018</v>
      </c>
      <c r="G1017" s="13"/>
      <c r="H1017" s="14">
        <v>1</v>
      </c>
      <c r="I1017" s="9">
        <f t="shared" ca="1" si="31"/>
        <v>0.23773384301580336</v>
      </c>
    </row>
    <row r="1018" spans="1:9" ht="15.75" customHeight="1" x14ac:dyDescent="0.15">
      <c r="A1018" s="10">
        <f t="shared" si="30"/>
        <v>1017</v>
      </c>
      <c r="B1018" s="11" t="s">
        <v>31</v>
      </c>
      <c r="C1018" s="10" t="s">
        <v>32</v>
      </c>
      <c r="D1018" s="11" t="s">
        <v>3019</v>
      </c>
      <c r="E1018" s="12" t="s">
        <v>286</v>
      </c>
      <c r="F1018" s="11" t="s">
        <v>3020</v>
      </c>
      <c r="G1018" s="13"/>
      <c r="H1018" s="22">
        <v>0</v>
      </c>
      <c r="I1018" s="9">
        <f t="shared" ca="1" si="31"/>
        <v>0.53830637702984763</v>
      </c>
    </row>
    <row r="1019" spans="1:9" ht="15.75" hidden="1" customHeight="1" x14ac:dyDescent="0.15">
      <c r="A1019" s="10">
        <f t="shared" si="30"/>
        <v>1018</v>
      </c>
      <c r="B1019" s="12" t="s">
        <v>3253</v>
      </c>
      <c r="C1019" s="10" t="s">
        <v>16</v>
      </c>
      <c r="D1019" s="12" t="s">
        <v>3021</v>
      </c>
      <c r="E1019" s="13" t="s">
        <v>98</v>
      </c>
      <c r="F1019" s="12" t="s">
        <v>3022</v>
      </c>
      <c r="G1019" s="13"/>
      <c r="H1019" s="22">
        <v>0</v>
      </c>
      <c r="I1019" s="9">
        <f t="shared" ca="1" si="31"/>
        <v>0.45846130725783552</v>
      </c>
    </row>
    <row r="1020" spans="1:9" ht="15.75" hidden="1" customHeight="1" x14ac:dyDescent="0.15">
      <c r="A1020" s="10">
        <f t="shared" si="30"/>
        <v>1019</v>
      </c>
      <c r="B1020" s="12" t="s">
        <v>3253</v>
      </c>
      <c r="C1020" s="10" t="s">
        <v>11</v>
      </c>
      <c r="D1020" s="12" t="s">
        <v>3023</v>
      </c>
      <c r="E1020" s="12" t="s">
        <v>3024</v>
      </c>
      <c r="F1020" s="11" t="s">
        <v>3025</v>
      </c>
      <c r="G1020" s="13"/>
      <c r="H1020" s="22">
        <v>0</v>
      </c>
      <c r="I1020" s="9">
        <f t="shared" ca="1" si="31"/>
        <v>0.93726466043484702</v>
      </c>
    </row>
    <row r="1021" spans="1:9" ht="15.75" hidden="1" customHeight="1" x14ac:dyDescent="0.15">
      <c r="A1021" s="10">
        <f t="shared" si="30"/>
        <v>1020</v>
      </c>
      <c r="B1021" s="11" t="s">
        <v>31</v>
      </c>
      <c r="C1021" s="10" t="s">
        <v>16</v>
      </c>
      <c r="D1021" s="12" t="s">
        <v>3026</v>
      </c>
      <c r="E1021" s="13" t="s">
        <v>127</v>
      </c>
      <c r="F1021" s="12" t="s">
        <v>3027</v>
      </c>
      <c r="G1021" s="13"/>
      <c r="H1021" s="22">
        <v>0</v>
      </c>
      <c r="I1021" s="9">
        <f t="shared" ca="1" si="31"/>
        <v>0.52242226852270868</v>
      </c>
    </row>
    <row r="1022" spans="1:9" ht="15.75" hidden="1" customHeight="1" x14ac:dyDescent="0.15">
      <c r="A1022" s="10">
        <f t="shared" si="30"/>
        <v>1021</v>
      </c>
      <c r="B1022" s="11" t="s">
        <v>31</v>
      </c>
      <c r="C1022" s="10" t="s">
        <v>11</v>
      </c>
      <c r="D1022" s="11" t="s">
        <v>3028</v>
      </c>
      <c r="E1022" s="12" t="s">
        <v>3029</v>
      </c>
      <c r="F1022" s="11" t="s">
        <v>3030</v>
      </c>
      <c r="G1022" s="13"/>
      <c r="H1022" s="22">
        <v>0</v>
      </c>
      <c r="I1022" s="9">
        <f t="shared" ca="1" si="31"/>
        <v>0.15985265333432297</v>
      </c>
    </row>
    <row r="1023" spans="1:9" ht="15.75" hidden="1" customHeight="1" x14ac:dyDescent="0.15">
      <c r="A1023" s="10">
        <f t="shared" si="30"/>
        <v>1022</v>
      </c>
      <c r="B1023" s="11" t="s">
        <v>36</v>
      </c>
      <c r="C1023" s="10" t="s">
        <v>16</v>
      </c>
      <c r="D1023" s="11" t="s">
        <v>3031</v>
      </c>
      <c r="E1023" s="13" t="s">
        <v>106</v>
      </c>
      <c r="F1023" s="12" t="s">
        <v>3032</v>
      </c>
      <c r="G1023" s="13"/>
      <c r="H1023" s="22">
        <v>0</v>
      </c>
      <c r="I1023" s="9">
        <f t="shared" ca="1" si="31"/>
        <v>0.38052387128351128</v>
      </c>
    </row>
    <row r="1024" spans="1:9" ht="15.75" customHeight="1" x14ac:dyDescent="0.15">
      <c r="A1024" s="10">
        <f t="shared" si="30"/>
        <v>1023</v>
      </c>
      <c r="B1024" s="12" t="s">
        <v>1266</v>
      </c>
      <c r="C1024" s="10" t="s">
        <v>32</v>
      </c>
      <c r="D1024" s="11" t="s">
        <v>3033</v>
      </c>
      <c r="E1024" s="12" t="s">
        <v>174</v>
      </c>
      <c r="F1024" s="11" t="s">
        <v>3034</v>
      </c>
      <c r="G1024" s="13"/>
      <c r="H1024" s="22">
        <v>0</v>
      </c>
      <c r="I1024" s="9">
        <f t="shared" ca="1" si="31"/>
        <v>0.66613763338752241</v>
      </c>
    </row>
    <row r="1025" spans="1:9" ht="15.75" customHeight="1" x14ac:dyDescent="0.15">
      <c r="A1025" s="10">
        <f t="shared" si="30"/>
        <v>1024</v>
      </c>
      <c r="B1025" s="11" t="s">
        <v>36</v>
      </c>
      <c r="C1025" s="10" t="s">
        <v>27</v>
      </c>
      <c r="D1025" s="11" t="s">
        <v>3035</v>
      </c>
      <c r="E1025" s="12" t="s">
        <v>3036</v>
      </c>
      <c r="F1025" s="11" t="s">
        <v>3037</v>
      </c>
      <c r="G1025" s="13"/>
      <c r="H1025" s="22">
        <v>0</v>
      </c>
      <c r="I1025" s="9">
        <f t="shared" ca="1" si="31"/>
        <v>0.12868999773508116</v>
      </c>
    </row>
    <row r="1026" spans="1:9" ht="15.75" customHeight="1" x14ac:dyDescent="0.15">
      <c r="A1026" s="10">
        <f t="shared" si="30"/>
        <v>1025</v>
      </c>
      <c r="B1026" s="12" t="s">
        <v>1266</v>
      </c>
      <c r="C1026" s="10" t="s">
        <v>21</v>
      </c>
      <c r="D1026" s="11" t="s">
        <v>3038</v>
      </c>
      <c r="E1026" s="13" t="s">
        <v>134</v>
      </c>
      <c r="F1026" s="11" t="s">
        <v>3039</v>
      </c>
      <c r="G1026" s="13"/>
      <c r="H1026" s="22">
        <v>0</v>
      </c>
      <c r="I1026" s="9">
        <f t="shared" ca="1" si="31"/>
        <v>0.55817184117070695</v>
      </c>
    </row>
    <row r="1027" spans="1:9" ht="15.75" customHeight="1" x14ac:dyDescent="0.15">
      <c r="A1027" s="10">
        <f t="shared" ref="A1027:A1090" si="32">ROW() - 1</f>
        <v>1026</v>
      </c>
      <c r="B1027" s="12" t="s">
        <v>3253</v>
      </c>
      <c r="C1027" s="10" t="s">
        <v>21</v>
      </c>
      <c r="D1027" s="12" t="s">
        <v>3040</v>
      </c>
      <c r="E1027" s="13" t="s">
        <v>1187</v>
      </c>
      <c r="F1027" s="12" t="s">
        <v>3041</v>
      </c>
      <c r="G1027" s="13"/>
      <c r="H1027" s="22">
        <v>0</v>
      </c>
      <c r="I1027" s="9">
        <f t="shared" ca="1" si="31"/>
        <v>0.50197981322207852</v>
      </c>
    </row>
    <row r="1028" spans="1:9" ht="15.75" customHeight="1" x14ac:dyDescent="0.15">
      <c r="A1028" s="10">
        <f t="shared" si="32"/>
        <v>1027</v>
      </c>
      <c r="B1028" s="12" t="s">
        <v>1266</v>
      </c>
      <c r="C1028" s="10" t="s">
        <v>21</v>
      </c>
      <c r="D1028" s="11" t="s">
        <v>3042</v>
      </c>
      <c r="E1028" s="13" t="s">
        <v>141</v>
      </c>
      <c r="F1028" s="11" t="s">
        <v>3043</v>
      </c>
      <c r="G1028" s="13"/>
      <c r="H1028" s="22">
        <v>0</v>
      </c>
      <c r="I1028" s="9">
        <f t="shared" ref="I1028:I1091" ca="1" si="33">RAND()</f>
        <v>0.72016729461083706</v>
      </c>
    </row>
    <row r="1029" spans="1:9" ht="15.75" customHeight="1" x14ac:dyDescent="0.15">
      <c r="A1029" s="10">
        <f t="shared" si="32"/>
        <v>1028</v>
      </c>
      <c r="B1029" s="11" t="s">
        <v>36</v>
      </c>
      <c r="C1029" s="10" t="s">
        <v>27</v>
      </c>
      <c r="D1029" s="11" t="s">
        <v>3044</v>
      </c>
      <c r="E1029" s="11" t="s">
        <v>3045</v>
      </c>
      <c r="F1029" s="11" t="s">
        <v>3046</v>
      </c>
      <c r="G1029" s="13"/>
      <c r="H1029" s="22">
        <v>0</v>
      </c>
      <c r="I1029" s="9">
        <f t="shared" ca="1" si="33"/>
        <v>0.52087915481099389</v>
      </c>
    </row>
    <row r="1030" spans="1:9" ht="15.75" customHeight="1" x14ac:dyDescent="0.15">
      <c r="A1030" s="10">
        <f t="shared" si="32"/>
        <v>1029</v>
      </c>
      <c r="B1030" s="12" t="s">
        <v>3253</v>
      </c>
      <c r="C1030" s="10" t="s">
        <v>32</v>
      </c>
      <c r="D1030" s="12" t="s">
        <v>3047</v>
      </c>
      <c r="E1030" s="12" t="s">
        <v>174</v>
      </c>
      <c r="F1030" s="11" t="s">
        <v>3048</v>
      </c>
      <c r="G1030" s="13"/>
      <c r="H1030" s="22">
        <v>0</v>
      </c>
      <c r="I1030" s="9">
        <f t="shared" ca="1" si="33"/>
        <v>0.37203326103889622</v>
      </c>
    </row>
    <row r="1031" spans="1:9" ht="15.75" hidden="1" customHeight="1" x14ac:dyDescent="0.15">
      <c r="A1031" s="10">
        <f t="shared" si="32"/>
        <v>1030</v>
      </c>
      <c r="B1031" s="12" t="s">
        <v>3253</v>
      </c>
      <c r="C1031" s="10" t="s">
        <v>16</v>
      </c>
      <c r="D1031" s="12" t="s">
        <v>3049</v>
      </c>
      <c r="E1031" s="13" t="s">
        <v>106</v>
      </c>
      <c r="F1031" s="12" t="s">
        <v>3050</v>
      </c>
      <c r="G1031" s="13"/>
      <c r="H1031" s="22">
        <v>0</v>
      </c>
      <c r="I1031" s="9">
        <f t="shared" ca="1" si="33"/>
        <v>0.21202798356731412</v>
      </c>
    </row>
    <row r="1032" spans="1:9" ht="15.75" customHeight="1" x14ac:dyDescent="0.15">
      <c r="A1032" s="10">
        <f t="shared" si="32"/>
        <v>1031</v>
      </c>
      <c r="B1032" s="12" t="s">
        <v>3253</v>
      </c>
      <c r="C1032" s="10" t="s">
        <v>21</v>
      </c>
      <c r="D1032" s="12" t="s">
        <v>3051</v>
      </c>
      <c r="E1032" s="13" t="s">
        <v>1187</v>
      </c>
      <c r="F1032" s="12" t="s">
        <v>3052</v>
      </c>
      <c r="G1032" s="13"/>
      <c r="H1032" s="22">
        <v>0</v>
      </c>
      <c r="I1032" s="9">
        <f t="shared" ca="1" si="33"/>
        <v>0.77361446804397649</v>
      </c>
    </row>
    <row r="1033" spans="1:9" ht="15.75" customHeight="1" x14ac:dyDescent="0.15">
      <c r="A1033" s="10">
        <f t="shared" si="32"/>
        <v>1032</v>
      </c>
      <c r="B1033" s="12" t="s">
        <v>3253</v>
      </c>
      <c r="C1033" s="10" t="s">
        <v>32</v>
      </c>
      <c r="D1033" s="11" t="s">
        <v>3053</v>
      </c>
      <c r="E1033" s="12" t="s">
        <v>286</v>
      </c>
      <c r="F1033" s="11" t="s">
        <v>3054</v>
      </c>
      <c r="G1033" s="13"/>
      <c r="H1033" s="22">
        <v>0</v>
      </c>
      <c r="I1033" s="9">
        <f t="shared" ca="1" si="33"/>
        <v>9.8636793123277888E-2</v>
      </c>
    </row>
    <row r="1034" spans="1:9" ht="15.75" customHeight="1" x14ac:dyDescent="0.15">
      <c r="A1034" s="10">
        <f t="shared" si="32"/>
        <v>1033</v>
      </c>
      <c r="B1034" s="10" t="s">
        <v>20</v>
      </c>
      <c r="C1034" s="10" t="s">
        <v>32</v>
      </c>
      <c r="D1034" s="11" t="s">
        <v>3055</v>
      </c>
      <c r="E1034" s="12" t="s">
        <v>286</v>
      </c>
      <c r="F1034" s="11" t="s">
        <v>3056</v>
      </c>
      <c r="G1034" s="13"/>
      <c r="H1034" s="22">
        <v>0</v>
      </c>
      <c r="I1034" s="9">
        <f t="shared" ca="1" si="33"/>
        <v>0.91163250737758827</v>
      </c>
    </row>
    <row r="1035" spans="1:9" ht="15.75" hidden="1" customHeight="1" x14ac:dyDescent="0.15">
      <c r="A1035" s="10">
        <f t="shared" si="32"/>
        <v>1034</v>
      </c>
      <c r="B1035" s="12" t="s">
        <v>3253</v>
      </c>
      <c r="C1035" s="10" t="s">
        <v>16</v>
      </c>
      <c r="D1035" s="11" t="s">
        <v>3057</v>
      </c>
      <c r="E1035" s="13" t="s">
        <v>98</v>
      </c>
      <c r="F1035" s="11" t="s">
        <v>3058</v>
      </c>
      <c r="G1035" s="13"/>
      <c r="H1035" s="14">
        <v>1</v>
      </c>
      <c r="I1035" s="9">
        <f t="shared" ca="1" si="33"/>
        <v>0.70215450657720546</v>
      </c>
    </row>
    <row r="1036" spans="1:9" ht="15.75" hidden="1" customHeight="1" x14ac:dyDescent="0.15">
      <c r="A1036" s="10">
        <f t="shared" si="32"/>
        <v>1035</v>
      </c>
      <c r="B1036" s="12" t="s">
        <v>3253</v>
      </c>
      <c r="C1036" s="10" t="s">
        <v>16</v>
      </c>
      <c r="D1036" s="12" t="s">
        <v>3059</v>
      </c>
      <c r="E1036" s="13" t="s">
        <v>98</v>
      </c>
      <c r="F1036" s="12" t="s">
        <v>3060</v>
      </c>
      <c r="G1036" s="13"/>
      <c r="H1036" s="22">
        <v>0</v>
      </c>
      <c r="I1036" s="9">
        <f t="shared" ca="1" si="33"/>
        <v>0.55492082856048941</v>
      </c>
    </row>
    <row r="1037" spans="1:9" ht="15.75" hidden="1" customHeight="1" x14ac:dyDescent="0.15">
      <c r="A1037" s="10">
        <f t="shared" si="32"/>
        <v>1036</v>
      </c>
      <c r="B1037" s="12" t="s">
        <v>1266</v>
      </c>
      <c r="C1037" s="10" t="s">
        <v>16</v>
      </c>
      <c r="D1037" s="12" t="s">
        <v>3061</v>
      </c>
      <c r="E1037" s="13" t="s">
        <v>106</v>
      </c>
      <c r="F1037" s="12" t="s">
        <v>3062</v>
      </c>
      <c r="G1037" s="13"/>
      <c r="H1037" s="14">
        <v>1</v>
      </c>
      <c r="I1037" s="9">
        <f t="shared" ca="1" si="33"/>
        <v>0.82346159975378819</v>
      </c>
    </row>
    <row r="1038" spans="1:9" ht="15.75" hidden="1" customHeight="1" x14ac:dyDescent="0.15">
      <c r="A1038" s="10">
        <f t="shared" si="32"/>
        <v>1037</v>
      </c>
      <c r="B1038" s="12" t="s">
        <v>20</v>
      </c>
      <c r="C1038" s="10" t="s">
        <v>16</v>
      </c>
      <c r="D1038" s="11" t="s">
        <v>3063</v>
      </c>
      <c r="E1038" s="13" t="s">
        <v>106</v>
      </c>
      <c r="F1038" s="11" t="s">
        <v>3064</v>
      </c>
      <c r="G1038" s="13"/>
      <c r="H1038" s="22">
        <v>0</v>
      </c>
      <c r="I1038" s="9">
        <f t="shared" ca="1" si="33"/>
        <v>0.1214059961252475</v>
      </c>
    </row>
    <row r="1039" spans="1:9" ht="15.75" customHeight="1" x14ac:dyDescent="0.15">
      <c r="A1039" s="10">
        <f t="shared" si="32"/>
        <v>1038</v>
      </c>
      <c r="B1039" s="11" t="s">
        <v>36</v>
      </c>
      <c r="C1039" s="10" t="s">
        <v>32</v>
      </c>
      <c r="D1039" s="11" t="s">
        <v>3065</v>
      </c>
      <c r="E1039" s="12" t="s">
        <v>174</v>
      </c>
      <c r="F1039" s="11" t="s">
        <v>3066</v>
      </c>
      <c r="G1039" s="13"/>
      <c r="H1039" s="22">
        <v>0</v>
      </c>
      <c r="I1039" s="9">
        <f t="shared" ca="1" si="33"/>
        <v>0.54984653409429229</v>
      </c>
    </row>
    <row r="1040" spans="1:9" ht="15.75" hidden="1" customHeight="1" x14ac:dyDescent="0.15">
      <c r="A1040" s="10">
        <f t="shared" si="32"/>
        <v>1039</v>
      </c>
      <c r="B1040" s="10" t="s">
        <v>20</v>
      </c>
      <c r="C1040" s="10" t="s">
        <v>11</v>
      </c>
      <c r="D1040" s="11" t="s">
        <v>3067</v>
      </c>
      <c r="E1040" s="11" t="s">
        <v>3068</v>
      </c>
      <c r="F1040" s="11" t="s">
        <v>3069</v>
      </c>
      <c r="G1040" s="13"/>
      <c r="H1040" s="14">
        <v>1</v>
      </c>
      <c r="I1040" s="9">
        <f t="shared" ca="1" si="33"/>
        <v>0.79264379098602022</v>
      </c>
    </row>
    <row r="1041" spans="1:9" ht="15.75" hidden="1" customHeight="1" x14ac:dyDescent="0.15">
      <c r="A1041" s="10">
        <f t="shared" si="32"/>
        <v>1040</v>
      </c>
      <c r="B1041" s="12" t="s">
        <v>3253</v>
      </c>
      <c r="C1041" s="10" t="s">
        <v>11</v>
      </c>
      <c r="D1041" s="12" t="s">
        <v>3070</v>
      </c>
      <c r="E1041" s="12" t="s">
        <v>3071</v>
      </c>
      <c r="F1041" s="11" t="s">
        <v>3072</v>
      </c>
      <c r="G1041" s="13"/>
      <c r="H1041" s="22">
        <v>0</v>
      </c>
      <c r="I1041" s="9">
        <f t="shared" ca="1" si="33"/>
        <v>0.94784670524314474</v>
      </c>
    </row>
    <row r="1042" spans="1:9" ht="15.75" customHeight="1" x14ac:dyDescent="0.15">
      <c r="A1042" s="10">
        <f t="shared" si="32"/>
        <v>1041</v>
      </c>
      <c r="B1042" s="11" t="s">
        <v>31</v>
      </c>
      <c r="C1042" s="10" t="s">
        <v>32</v>
      </c>
      <c r="D1042" s="11" t="s">
        <v>3073</v>
      </c>
      <c r="E1042" s="12" t="s">
        <v>174</v>
      </c>
      <c r="F1042" s="11" t="s">
        <v>3074</v>
      </c>
      <c r="G1042" s="13"/>
      <c r="H1042" s="22">
        <v>0</v>
      </c>
      <c r="I1042" s="9">
        <f t="shared" ca="1" si="33"/>
        <v>0.99813490721266507</v>
      </c>
    </row>
    <row r="1043" spans="1:9" ht="15.75" hidden="1" customHeight="1" x14ac:dyDescent="0.15">
      <c r="A1043" s="10">
        <f t="shared" si="32"/>
        <v>1042</v>
      </c>
      <c r="B1043" s="10" t="s">
        <v>20</v>
      </c>
      <c r="C1043" s="10" t="s">
        <v>16</v>
      </c>
      <c r="D1043" s="12" t="s">
        <v>3075</v>
      </c>
      <c r="E1043" s="13" t="s">
        <v>98</v>
      </c>
      <c r="F1043" s="12" t="s">
        <v>3076</v>
      </c>
      <c r="G1043" s="13"/>
      <c r="H1043" s="22">
        <v>0</v>
      </c>
      <c r="I1043" s="9">
        <f t="shared" ca="1" si="33"/>
        <v>0.18159269367936459</v>
      </c>
    </row>
    <row r="1044" spans="1:9" ht="15.75" hidden="1" customHeight="1" x14ac:dyDescent="0.15">
      <c r="A1044" s="10">
        <f t="shared" si="32"/>
        <v>1043</v>
      </c>
      <c r="B1044" s="12" t="s">
        <v>1266</v>
      </c>
      <c r="C1044" s="10" t="s">
        <v>16</v>
      </c>
      <c r="D1044" s="11" t="s">
        <v>3077</v>
      </c>
      <c r="E1044" s="13" t="s">
        <v>98</v>
      </c>
      <c r="F1044" s="11" t="s">
        <v>3078</v>
      </c>
      <c r="G1044" s="13"/>
      <c r="H1044" s="22">
        <v>0</v>
      </c>
      <c r="I1044" s="9">
        <f t="shared" ca="1" si="33"/>
        <v>0.39115944909738221</v>
      </c>
    </row>
    <row r="1045" spans="1:9" ht="15.75" hidden="1" customHeight="1" x14ac:dyDescent="0.15">
      <c r="A1045" s="10">
        <f t="shared" si="32"/>
        <v>1044</v>
      </c>
      <c r="B1045" s="11" t="s">
        <v>36</v>
      </c>
      <c r="C1045" s="10" t="s">
        <v>16</v>
      </c>
      <c r="D1045" s="12" t="s">
        <v>3079</v>
      </c>
      <c r="E1045" s="13" t="s">
        <v>98</v>
      </c>
      <c r="F1045" s="12" t="s">
        <v>3080</v>
      </c>
      <c r="G1045" s="13"/>
      <c r="H1045" s="22">
        <v>0</v>
      </c>
      <c r="I1045" s="9">
        <f t="shared" ca="1" si="33"/>
        <v>4.5619604925272395E-2</v>
      </c>
    </row>
    <row r="1046" spans="1:9" ht="15.75" hidden="1" customHeight="1" x14ac:dyDescent="0.15">
      <c r="A1046" s="10">
        <f t="shared" si="32"/>
        <v>1045</v>
      </c>
      <c r="B1046" s="10" t="s">
        <v>20</v>
      </c>
      <c r="C1046" s="10" t="s">
        <v>11</v>
      </c>
      <c r="D1046" s="12" t="s">
        <v>3081</v>
      </c>
      <c r="E1046" s="12" t="s">
        <v>3082</v>
      </c>
      <c r="F1046" s="11" t="s">
        <v>3083</v>
      </c>
      <c r="G1046" s="13"/>
      <c r="H1046" s="22">
        <v>0</v>
      </c>
      <c r="I1046" s="9">
        <f t="shared" ca="1" si="33"/>
        <v>0.28011229728463205</v>
      </c>
    </row>
    <row r="1047" spans="1:9" ht="15.75" customHeight="1" x14ac:dyDescent="0.15">
      <c r="A1047" s="10">
        <f t="shared" si="32"/>
        <v>1046</v>
      </c>
      <c r="B1047" s="12" t="s">
        <v>1266</v>
      </c>
      <c r="C1047" s="10" t="s">
        <v>32</v>
      </c>
      <c r="D1047" s="11" t="s">
        <v>3084</v>
      </c>
      <c r="E1047" s="12" t="s">
        <v>174</v>
      </c>
      <c r="F1047" s="11" t="s">
        <v>3085</v>
      </c>
      <c r="G1047" s="13"/>
      <c r="H1047" s="22">
        <v>0</v>
      </c>
      <c r="I1047" s="9">
        <f t="shared" ca="1" si="33"/>
        <v>0.62756784418553102</v>
      </c>
    </row>
    <row r="1048" spans="1:9" ht="15.75" customHeight="1" x14ac:dyDescent="0.15">
      <c r="A1048" s="10">
        <f t="shared" si="32"/>
        <v>1047</v>
      </c>
      <c r="B1048" s="12" t="s">
        <v>3253</v>
      </c>
      <c r="C1048" s="10" t="s">
        <v>27</v>
      </c>
      <c r="D1048" s="11" t="s">
        <v>3086</v>
      </c>
      <c r="E1048" s="11" t="s">
        <v>1672</v>
      </c>
      <c r="F1048" s="11" t="s">
        <v>3087</v>
      </c>
      <c r="G1048" s="13"/>
      <c r="H1048" s="22">
        <v>0</v>
      </c>
      <c r="I1048" s="9">
        <f t="shared" ca="1" si="33"/>
        <v>0.60654362066529033</v>
      </c>
    </row>
    <row r="1049" spans="1:9" ht="15.75" hidden="1" customHeight="1" x14ac:dyDescent="0.15">
      <c r="A1049" s="10">
        <f t="shared" si="32"/>
        <v>1048</v>
      </c>
      <c r="B1049" s="12" t="s">
        <v>3253</v>
      </c>
      <c r="C1049" s="10" t="s">
        <v>11</v>
      </c>
      <c r="D1049" s="12" t="s">
        <v>3088</v>
      </c>
      <c r="E1049" s="12" t="s">
        <v>3089</v>
      </c>
      <c r="F1049" s="11" t="s">
        <v>3090</v>
      </c>
      <c r="G1049" s="13"/>
      <c r="H1049" s="22">
        <v>0</v>
      </c>
      <c r="I1049" s="9">
        <f t="shared" ca="1" si="33"/>
        <v>0.13092834521352903</v>
      </c>
    </row>
    <row r="1050" spans="1:9" ht="15.75" customHeight="1" x14ac:dyDescent="0.15">
      <c r="A1050" s="10">
        <f t="shared" si="32"/>
        <v>1049</v>
      </c>
      <c r="B1050" s="10" t="s">
        <v>20</v>
      </c>
      <c r="C1050" s="10" t="s">
        <v>27</v>
      </c>
      <c r="D1050" s="11" t="s">
        <v>3091</v>
      </c>
      <c r="E1050" s="11" t="s">
        <v>3092</v>
      </c>
      <c r="F1050" s="11" t="s">
        <v>3093</v>
      </c>
      <c r="G1050" s="13"/>
      <c r="H1050" s="22">
        <v>0</v>
      </c>
      <c r="I1050" s="9">
        <f t="shared" ca="1" si="33"/>
        <v>0.18589754029972994</v>
      </c>
    </row>
    <row r="1051" spans="1:9" ht="15.75" customHeight="1" x14ac:dyDescent="0.15">
      <c r="A1051" s="10">
        <f t="shared" si="32"/>
        <v>1050</v>
      </c>
      <c r="B1051" s="12" t="s">
        <v>3253</v>
      </c>
      <c r="C1051" s="10" t="s">
        <v>32</v>
      </c>
      <c r="D1051" s="12" t="s">
        <v>3094</v>
      </c>
      <c r="E1051" s="12" t="s">
        <v>174</v>
      </c>
      <c r="F1051" s="11" t="s">
        <v>3095</v>
      </c>
      <c r="G1051" s="13"/>
      <c r="H1051" s="22">
        <v>0</v>
      </c>
      <c r="I1051" s="9">
        <f t="shared" ca="1" si="33"/>
        <v>0.91759319744858681</v>
      </c>
    </row>
    <row r="1052" spans="1:9" ht="15.75" customHeight="1" x14ac:dyDescent="0.15">
      <c r="A1052" s="10">
        <f t="shared" si="32"/>
        <v>1051</v>
      </c>
      <c r="B1052" s="10" t="s">
        <v>20</v>
      </c>
      <c r="C1052" s="10" t="s">
        <v>32</v>
      </c>
      <c r="D1052" s="11" t="s">
        <v>3096</v>
      </c>
      <c r="E1052" s="12" t="s">
        <v>286</v>
      </c>
      <c r="F1052" s="19" t="s">
        <v>3097</v>
      </c>
      <c r="G1052" s="13"/>
      <c r="H1052" s="22">
        <v>0</v>
      </c>
      <c r="I1052" s="9">
        <f t="shared" ca="1" si="33"/>
        <v>0.84493113211456605</v>
      </c>
    </row>
    <row r="1053" spans="1:9" ht="15.75" hidden="1" customHeight="1" x14ac:dyDescent="0.15">
      <c r="A1053" s="10">
        <f t="shared" si="32"/>
        <v>1052</v>
      </c>
      <c r="B1053" s="10" t="s">
        <v>20</v>
      </c>
      <c r="C1053" s="10" t="s">
        <v>11</v>
      </c>
      <c r="D1053" s="12" t="s">
        <v>3098</v>
      </c>
      <c r="E1053" s="12" t="s">
        <v>3099</v>
      </c>
      <c r="F1053" s="11" t="s">
        <v>3100</v>
      </c>
      <c r="G1053" s="13"/>
      <c r="H1053" s="22">
        <v>0</v>
      </c>
      <c r="I1053" s="9">
        <f t="shared" ca="1" si="33"/>
        <v>0.74801492303848194</v>
      </c>
    </row>
    <row r="1054" spans="1:9" ht="15.75" hidden="1" customHeight="1" x14ac:dyDescent="0.15">
      <c r="A1054" s="10">
        <f t="shared" si="32"/>
        <v>1053</v>
      </c>
      <c r="B1054" s="10" t="s">
        <v>20</v>
      </c>
      <c r="C1054" s="10" t="s">
        <v>11</v>
      </c>
      <c r="D1054" s="11" t="s">
        <v>3101</v>
      </c>
      <c r="E1054" s="12" t="s">
        <v>3102</v>
      </c>
      <c r="F1054" s="11" t="s">
        <v>3103</v>
      </c>
      <c r="G1054" s="13"/>
      <c r="H1054" s="22">
        <v>0</v>
      </c>
      <c r="I1054" s="9">
        <f t="shared" ca="1" si="33"/>
        <v>0.96947195462887736</v>
      </c>
    </row>
    <row r="1055" spans="1:9" ht="15.75" customHeight="1" x14ac:dyDescent="0.15">
      <c r="A1055" s="10">
        <f t="shared" si="32"/>
        <v>1054</v>
      </c>
      <c r="B1055" s="11" t="s">
        <v>31</v>
      </c>
      <c r="C1055" s="10" t="s">
        <v>21</v>
      </c>
      <c r="D1055" s="12" t="s">
        <v>3104</v>
      </c>
      <c r="E1055" s="13" t="s">
        <v>560</v>
      </c>
      <c r="F1055" s="12" t="s">
        <v>3105</v>
      </c>
      <c r="G1055" s="13"/>
      <c r="H1055" s="22">
        <v>0</v>
      </c>
      <c r="I1055" s="9">
        <f t="shared" ca="1" si="33"/>
        <v>0.10515719162669845</v>
      </c>
    </row>
    <row r="1056" spans="1:9" ht="15.75" hidden="1" customHeight="1" x14ac:dyDescent="0.15">
      <c r="A1056" s="10">
        <f t="shared" si="32"/>
        <v>1055</v>
      </c>
      <c r="B1056" s="12" t="s">
        <v>3253</v>
      </c>
      <c r="C1056" s="10" t="s">
        <v>16</v>
      </c>
      <c r="D1056" s="12" t="s">
        <v>3106</v>
      </c>
      <c r="E1056" s="13" t="s">
        <v>159</v>
      </c>
      <c r="F1056" s="12" t="s">
        <v>3107</v>
      </c>
      <c r="G1056" s="13"/>
      <c r="H1056" s="14">
        <v>1</v>
      </c>
      <c r="I1056" s="9">
        <f t="shared" ca="1" si="33"/>
        <v>0.80903520878497226</v>
      </c>
    </row>
    <row r="1057" spans="1:9" ht="15.75" customHeight="1" x14ac:dyDescent="0.15">
      <c r="A1057" s="10">
        <f t="shared" si="32"/>
        <v>1056</v>
      </c>
      <c r="B1057" s="12" t="s">
        <v>3253</v>
      </c>
      <c r="C1057" s="10" t="s">
        <v>21</v>
      </c>
      <c r="D1057" s="12" t="s">
        <v>3108</v>
      </c>
      <c r="E1057" s="13" t="s">
        <v>1361</v>
      </c>
      <c r="F1057" s="12" t="s">
        <v>3109</v>
      </c>
      <c r="G1057" s="13"/>
      <c r="H1057" s="22">
        <v>0</v>
      </c>
      <c r="I1057" s="9">
        <f t="shared" ca="1" si="33"/>
        <v>1.6976821812316523E-2</v>
      </c>
    </row>
    <row r="1058" spans="1:9" ht="15.75" customHeight="1" x14ac:dyDescent="0.15">
      <c r="A1058" s="10">
        <f t="shared" si="32"/>
        <v>1057</v>
      </c>
      <c r="B1058" s="10" t="s">
        <v>20</v>
      </c>
      <c r="C1058" s="10" t="s">
        <v>21</v>
      </c>
      <c r="D1058" s="12" t="s">
        <v>3110</v>
      </c>
      <c r="E1058" s="13" t="s">
        <v>134</v>
      </c>
      <c r="F1058" s="12" t="s">
        <v>3111</v>
      </c>
      <c r="G1058" s="13"/>
      <c r="H1058" s="22">
        <v>0</v>
      </c>
      <c r="I1058" s="9">
        <f t="shared" ca="1" si="33"/>
        <v>0.17153223960984765</v>
      </c>
    </row>
    <row r="1059" spans="1:9" ht="15.75" customHeight="1" x14ac:dyDescent="0.15">
      <c r="A1059" s="10">
        <f t="shared" si="32"/>
        <v>1058</v>
      </c>
      <c r="B1059" s="10" t="s">
        <v>20</v>
      </c>
      <c r="C1059" s="10" t="s">
        <v>27</v>
      </c>
      <c r="D1059" s="11" t="s">
        <v>3112</v>
      </c>
      <c r="E1059" s="15">
        <v>-32</v>
      </c>
      <c r="F1059" s="11" t="s">
        <v>3113</v>
      </c>
      <c r="G1059" s="13"/>
      <c r="H1059" s="14">
        <v>1</v>
      </c>
      <c r="I1059" s="9">
        <f t="shared" ca="1" si="33"/>
        <v>0.11179367209480051</v>
      </c>
    </row>
    <row r="1060" spans="1:9" ht="15.75" hidden="1" customHeight="1" x14ac:dyDescent="0.15">
      <c r="A1060" s="10">
        <f t="shared" si="32"/>
        <v>1059</v>
      </c>
      <c r="B1060" s="12" t="s">
        <v>20</v>
      </c>
      <c r="C1060" s="10" t="s">
        <v>16</v>
      </c>
      <c r="D1060" s="11" t="s">
        <v>3114</v>
      </c>
      <c r="E1060" s="13" t="s">
        <v>106</v>
      </c>
      <c r="F1060" s="11" t="s">
        <v>3115</v>
      </c>
      <c r="G1060" s="13"/>
      <c r="H1060" s="14">
        <v>1</v>
      </c>
      <c r="I1060" s="9">
        <f t="shared" ca="1" si="33"/>
        <v>0.73182927040105572</v>
      </c>
    </row>
    <row r="1061" spans="1:9" ht="15.75" customHeight="1" x14ac:dyDescent="0.15">
      <c r="A1061" s="10">
        <f t="shared" si="32"/>
        <v>1060</v>
      </c>
      <c r="B1061" s="10" t="s">
        <v>20</v>
      </c>
      <c r="C1061" s="10" t="s">
        <v>21</v>
      </c>
      <c r="D1061" s="12" t="s">
        <v>3116</v>
      </c>
      <c r="E1061" s="13" t="s">
        <v>620</v>
      </c>
      <c r="F1061" s="12" t="s">
        <v>3117</v>
      </c>
      <c r="G1061" s="13"/>
      <c r="H1061" s="22">
        <v>0</v>
      </c>
      <c r="I1061" s="9">
        <f t="shared" ca="1" si="33"/>
        <v>0.46262004781834209</v>
      </c>
    </row>
    <row r="1062" spans="1:9" ht="15.75" hidden="1" customHeight="1" x14ac:dyDescent="0.15">
      <c r="A1062" s="10">
        <f t="shared" si="32"/>
        <v>1061</v>
      </c>
      <c r="B1062" s="10" t="s">
        <v>20</v>
      </c>
      <c r="C1062" s="10" t="s">
        <v>11</v>
      </c>
      <c r="D1062" s="11" t="s">
        <v>3118</v>
      </c>
      <c r="E1062" s="11" t="s">
        <v>3119</v>
      </c>
      <c r="F1062" s="11" t="s">
        <v>3120</v>
      </c>
      <c r="G1062" s="13"/>
      <c r="H1062" s="14">
        <v>1</v>
      </c>
      <c r="I1062" s="9">
        <f t="shared" ca="1" si="33"/>
        <v>0.65366813092303355</v>
      </c>
    </row>
    <row r="1063" spans="1:9" ht="15.75" hidden="1" customHeight="1" x14ac:dyDescent="0.15">
      <c r="A1063" s="10">
        <f t="shared" si="32"/>
        <v>1062</v>
      </c>
      <c r="B1063" s="12" t="s">
        <v>3253</v>
      </c>
      <c r="C1063" s="10" t="s">
        <v>16</v>
      </c>
      <c r="D1063" s="12" t="s">
        <v>3121</v>
      </c>
      <c r="E1063" s="13" t="s">
        <v>127</v>
      </c>
      <c r="F1063" s="12" t="s">
        <v>3122</v>
      </c>
      <c r="G1063" s="13"/>
      <c r="H1063" s="14">
        <v>1</v>
      </c>
      <c r="I1063" s="9">
        <f t="shared" ca="1" si="33"/>
        <v>5.2272308872092665E-2</v>
      </c>
    </row>
    <row r="1064" spans="1:9" ht="15.75" hidden="1" customHeight="1" x14ac:dyDescent="0.15">
      <c r="A1064" s="10">
        <f t="shared" si="32"/>
        <v>1063</v>
      </c>
      <c r="B1064" s="11" t="s">
        <v>31</v>
      </c>
      <c r="C1064" s="10" t="s">
        <v>16</v>
      </c>
      <c r="D1064" s="12" t="s">
        <v>3123</v>
      </c>
      <c r="E1064" s="13" t="s">
        <v>98</v>
      </c>
      <c r="F1064" s="12" t="s">
        <v>3124</v>
      </c>
      <c r="G1064" s="13"/>
      <c r="H1064" s="22">
        <v>0</v>
      </c>
      <c r="I1064" s="9">
        <f t="shared" ca="1" si="33"/>
        <v>0.58066092628384847</v>
      </c>
    </row>
    <row r="1065" spans="1:9" ht="15.75" customHeight="1" x14ac:dyDescent="0.15">
      <c r="A1065" s="10">
        <f t="shared" si="32"/>
        <v>1064</v>
      </c>
      <c r="B1065" s="12" t="s">
        <v>3253</v>
      </c>
      <c r="C1065" s="10" t="s">
        <v>21</v>
      </c>
      <c r="D1065" s="11" t="s">
        <v>3125</v>
      </c>
      <c r="E1065" s="13" t="s">
        <v>129</v>
      </c>
      <c r="F1065" s="11" t="s">
        <v>3126</v>
      </c>
      <c r="G1065" s="13"/>
      <c r="H1065" s="22">
        <v>0</v>
      </c>
      <c r="I1065" s="9">
        <f t="shared" ca="1" si="33"/>
        <v>0.12258349836907534</v>
      </c>
    </row>
    <row r="1066" spans="1:9" ht="15.75" hidden="1" customHeight="1" x14ac:dyDescent="0.15">
      <c r="A1066" s="10">
        <f t="shared" si="32"/>
        <v>1065</v>
      </c>
      <c r="B1066" s="12" t="s">
        <v>1266</v>
      </c>
      <c r="C1066" s="10" t="s">
        <v>16</v>
      </c>
      <c r="D1066" s="11" t="s">
        <v>3127</v>
      </c>
      <c r="E1066" s="13" t="s">
        <v>98</v>
      </c>
      <c r="F1066" s="11" t="s">
        <v>3128</v>
      </c>
      <c r="G1066" s="13"/>
      <c r="H1066" s="22">
        <v>0</v>
      </c>
      <c r="I1066" s="9">
        <f t="shared" ca="1" si="33"/>
        <v>0.73397413726883876</v>
      </c>
    </row>
    <row r="1067" spans="1:9" ht="15.75" hidden="1" customHeight="1" x14ac:dyDescent="0.15">
      <c r="A1067" s="10">
        <f t="shared" si="32"/>
        <v>1066</v>
      </c>
      <c r="B1067" s="12" t="s">
        <v>3253</v>
      </c>
      <c r="C1067" s="10" t="s">
        <v>16</v>
      </c>
      <c r="D1067" s="12" t="s">
        <v>3129</v>
      </c>
      <c r="E1067" s="13" t="s">
        <v>98</v>
      </c>
      <c r="F1067" s="12" t="s">
        <v>3130</v>
      </c>
      <c r="G1067" s="13"/>
      <c r="H1067" s="22">
        <v>0</v>
      </c>
      <c r="I1067" s="9">
        <f t="shared" ca="1" si="33"/>
        <v>0.10891470727701602</v>
      </c>
    </row>
    <row r="1068" spans="1:9" ht="15.75" hidden="1" customHeight="1" x14ac:dyDescent="0.15">
      <c r="A1068" s="10">
        <f t="shared" si="32"/>
        <v>1067</v>
      </c>
      <c r="B1068" s="10" t="s">
        <v>3253</v>
      </c>
      <c r="C1068" s="10" t="s">
        <v>16</v>
      </c>
      <c r="D1068" s="12" t="s">
        <v>3131</v>
      </c>
      <c r="E1068" s="13" t="s">
        <v>127</v>
      </c>
      <c r="F1068" s="12" t="s">
        <v>3132</v>
      </c>
      <c r="G1068" s="13"/>
      <c r="H1068" s="22">
        <v>0</v>
      </c>
      <c r="I1068" s="9">
        <f t="shared" ca="1" si="33"/>
        <v>0.24488021032169016</v>
      </c>
    </row>
    <row r="1069" spans="1:9" ht="15.75" hidden="1" customHeight="1" x14ac:dyDescent="0.15">
      <c r="A1069" s="10">
        <f t="shared" si="32"/>
        <v>1068</v>
      </c>
      <c r="B1069" s="12" t="s">
        <v>1266</v>
      </c>
      <c r="C1069" s="10" t="s">
        <v>16</v>
      </c>
      <c r="D1069" s="11" t="s">
        <v>3133</v>
      </c>
      <c r="E1069" s="13" t="s">
        <v>98</v>
      </c>
      <c r="F1069" s="11" t="s">
        <v>3134</v>
      </c>
      <c r="G1069" s="13"/>
      <c r="H1069" s="22">
        <v>0</v>
      </c>
      <c r="I1069" s="9">
        <f t="shared" ca="1" si="33"/>
        <v>0.74831418754943024</v>
      </c>
    </row>
    <row r="1070" spans="1:9" ht="15.75" hidden="1" customHeight="1" x14ac:dyDescent="0.15">
      <c r="A1070" s="10">
        <f t="shared" si="32"/>
        <v>1069</v>
      </c>
      <c r="B1070" s="11" t="s">
        <v>31</v>
      </c>
      <c r="C1070" s="10" t="s">
        <v>16</v>
      </c>
      <c r="D1070" s="11" t="s">
        <v>3135</v>
      </c>
      <c r="E1070" s="13" t="s">
        <v>127</v>
      </c>
      <c r="F1070" s="12" t="s">
        <v>3136</v>
      </c>
      <c r="G1070" s="13"/>
      <c r="H1070" s="22">
        <v>0</v>
      </c>
      <c r="I1070" s="9">
        <f t="shared" ca="1" si="33"/>
        <v>0.36864673554362881</v>
      </c>
    </row>
    <row r="1071" spans="1:9" ht="15.75" hidden="1" customHeight="1" x14ac:dyDescent="0.15">
      <c r="A1071" s="10">
        <f t="shared" si="32"/>
        <v>1070</v>
      </c>
      <c r="B1071" s="17" t="s">
        <v>20</v>
      </c>
      <c r="C1071" s="10" t="s">
        <v>16</v>
      </c>
      <c r="D1071" s="12" t="s">
        <v>3137</v>
      </c>
      <c r="E1071" s="13" t="s">
        <v>127</v>
      </c>
      <c r="F1071" s="12" t="s">
        <v>3138</v>
      </c>
      <c r="G1071" s="13"/>
      <c r="H1071" s="22">
        <v>0</v>
      </c>
      <c r="I1071" s="9">
        <f t="shared" ca="1" si="33"/>
        <v>0.47452865795880927</v>
      </c>
    </row>
    <row r="1072" spans="1:9" ht="15.75" hidden="1" customHeight="1" x14ac:dyDescent="0.15">
      <c r="A1072" s="10">
        <f t="shared" si="32"/>
        <v>1071</v>
      </c>
      <c r="B1072" s="12" t="s">
        <v>3253</v>
      </c>
      <c r="C1072" s="10" t="s">
        <v>16</v>
      </c>
      <c r="D1072" s="12" t="s">
        <v>3139</v>
      </c>
      <c r="E1072" s="13" t="s">
        <v>98</v>
      </c>
      <c r="F1072" s="12" t="s">
        <v>3140</v>
      </c>
      <c r="G1072" s="13"/>
      <c r="H1072" s="22">
        <v>0</v>
      </c>
      <c r="I1072" s="9">
        <f t="shared" ca="1" si="33"/>
        <v>0.19762305754424547</v>
      </c>
    </row>
    <row r="1073" spans="1:9" ht="15.75" customHeight="1" x14ac:dyDescent="0.15">
      <c r="A1073" s="10">
        <f t="shared" si="32"/>
        <v>1072</v>
      </c>
      <c r="B1073" s="10" t="s">
        <v>20</v>
      </c>
      <c r="C1073" s="10" t="s">
        <v>21</v>
      </c>
      <c r="D1073" s="12" t="s">
        <v>3141</v>
      </c>
      <c r="E1073" s="13" t="s">
        <v>129</v>
      </c>
      <c r="F1073" s="12" t="s">
        <v>3142</v>
      </c>
      <c r="G1073" s="13"/>
      <c r="H1073" s="22">
        <v>0</v>
      </c>
      <c r="I1073" s="9">
        <f t="shared" ca="1" si="33"/>
        <v>3.9353793352664757E-2</v>
      </c>
    </row>
    <row r="1074" spans="1:9" ht="15.75" hidden="1" customHeight="1" x14ac:dyDescent="0.15">
      <c r="A1074" s="10">
        <f t="shared" si="32"/>
        <v>1073</v>
      </c>
      <c r="B1074" s="12" t="s">
        <v>20</v>
      </c>
      <c r="C1074" s="10" t="s">
        <v>16</v>
      </c>
      <c r="D1074" s="11" t="s">
        <v>3143</v>
      </c>
      <c r="E1074" s="13" t="s">
        <v>106</v>
      </c>
      <c r="F1074" s="11" t="s">
        <v>3144</v>
      </c>
      <c r="G1074" s="13"/>
      <c r="H1074" s="22">
        <v>0</v>
      </c>
      <c r="I1074" s="9">
        <f t="shared" ca="1" si="33"/>
        <v>0.35256807882293617</v>
      </c>
    </row>
    <row r="1075" spans="1:9" ht="15.75" customHeight="1" x14ac:dyDescent="0.15">
      <c r="A1075" s="10">
        <f t="shared" si="32"/>
        <v>1074</v>
      </c>
      <c r="B1075" s="12" t="s">
        <v>3253</v>
      </c>
      <c r="C1075" s="10" t="s">
        <v>21</v>
      </c>
      <c r="D1075" s="11" t="s">
        <v>3145</v>
      </c>
      <c r="E1075" s="13" t="s">
        <v>241</v>
      </c>
      <c r="F1075" s="12" t="s">
        <v>3146</v>
      </c>
      <c r="G1075" s="13"/>
      <c r="H1075" s="22">
        <v>0</v>
      </c>
      <c r="I1075" s="9">
        <f t="shared" ca="1" si="33"/>
        <v>0.6226696760408551</v>
      </c>
    </row>
    <row r="1076" spans="1:9" ht="15.75" customHeight="1" x14ac:dyDescent="0.15">
      <c r="A1076" s="10">
        <f t="shared" si="32"/>
        <v>1075</v>
      </c>
      <c r="B1076" s="10" t="s">
        <v>20</v>
      </c>
      <c r="C1076" s="10" t="s">
        <v>27</v>
      </c>
      <c r="D1076" s="12" t="s">
        <v>3147</v>
      </c>
      <c r="E1076" s="11" t="s">
        <v>3148</v>
      </c>
      <c r="F1076" s="12" t="s">
        <v>3149</v>
      </c>
      <c r="G1076" s="13"/>
      <c r="H1076" s="22">
        <v>0</v>
      </c>
      <c r="I1076" s="9">
        <f t="shared" ca="1" si="33"/>
        <v>0.35749581176252299</v>
      </c>
    </row>
    <row r="1077" spans="1:9" ht="15.75" customHeight="1" x14ac:dyDescent="0.15">
      <c r="A1077" s="10">
        <f t="shared" si="32"/>
        <v>1076</v>
      </c>
      <c r="B1077" s="11" t="s">
        <v>36</v>
      </c>
      <c r="C1077" s="10" t="s">
        <v>21</v>
      </c>
      <c r="D1077" s="11" t="s">
        <v>3150</v>
      </c>
      <c r="E1077" s="13" t="s">
        <v>241</v>
      </c>
      <c r="F1077" s="11" t="s">
        <v>3151</v>
      </c>
      <c r="G1077" s="13"/>
      <c r="H1077" s="22">
        <v>0</v>
      </c>
      <c r="I1077" s="9">
        <f t="shared" ca="1" si="33"/>
        <v>0.68365017813005513</v>
      </c>
    </row>
    <row r="1078" spans="1:9" ht="15.75" hidden="1" customHeight="1" x14ac:dyDescent="0.2">
      <c r="A1078" s="10">
        <f t="shared" si="32"/>
        <v>1077</v>
      </c>
      <c r="B1078" s="11" t="s">
        <v>36</v>
      </c>
      <c r="C1078" s="10" t="s">
        <v>11</v>
      </c>
      <c r="D1078" s="16" t="s">
        <v>3152</v>
      </c>
      <c r="E1078" s="12" t="s">
        <v>3153</v>
      </c>
      <c r="F1078" s="11" t="s">
        <v>3154</v>
      </c>
      <c r="G1078" s="13"/>
      <c r="H1078" s="22">
        <v>0</v>
      </c>
      <c r="I1078" s="9">
        <f t="shared" ca="1" si="33"/>
        <v>0.27716238709555607</v>
      </c>
    </row>
    <row r="1079" spans="1:9" ht="15.75" customHeight="1" x14ac:dyDescent="0.15">
      <c r="A1079" s="10">
        <f t="shared" si="32"/>
        <v>1078</v>
      </c>
      <c r="B1079" s="11" t="s">
        <v>36</v>
      </c>
      <c r="C1079" s="10" t="s">
        <v>27</v>
      </c>
      <c r="D1079" s="12" t="s">
        <v>3155</v>
      </c>
      <c r="E1079" s="12" t="s">
        <v>3156</v>
      </c>
      <c r="F1079" s="11" t="s">
        <v>3157</v>
      </c>
      <c r="G1079" s="13"/>
      <c r="H1079" s="22">
        <v>0</v>
      </c>
      <c r="I1079" s="9">
        <f t="shared" ca="1" si="33"/>
        <v>0.91010058927106607</v>
      </c>
    </row>
    <row r="1080" spans="1:9" ht="15.75" customHeight="1" x14ac:dyDescent="0.15">
      <c r="A1080" s="10">
        <f t="shared" si="32"/>
        <v>1079</v>
      </c>
      <c r="B1080" s="10" t="s">
        <v>20</v>
      </c>
      <c r="C1080" s="10" t="s">
        <v>32</v>
      </c>
      <c r="D1080" s="11" t="s">
        <v>3158</v>
      </c>
      <c r="E1080" s="12" t="s">
        <v>286</v>
      </c>
      <c r="F1080" s="11" t="s">
        <v>3159</v>
      </c>
      <c r="G1080" s="13"/>
      <c r="H1080" s="22">
        <v>0</v>
      </c>
      <c r="I1080" s="9">
        <f t="shared" ca="1" si="33"/>
        <v>0.57392503243850024</v>
      </c>
    </row>
    <row r="1081" spans="1:9" ht="15.75" hidden="1" customHeight="1" x14ac:dyDescent="0.15">
      <c r="A1081" s="10">
        <f t="shared" si="32"/>
        <v>1080</v>
      </c>
      <c r="B1081" s="12" t="s">
        <v>3253</v>
      </c>
      <c r="C1081" s="10" t="s">
        <v>11</v>
      </c>
      <c r="D1081" s="12" t="s">
        <v>3160</v>
      </c>
      <c r="E1081" s="12" t="s">
        <v>3161</v>
      </c>
      <c r="F1081" s="11" t="s">
        <v>3162</v>
      </c>
      <c r="G1081" s="13"/>
      <c r="H1081" s="22">
        <v>0</v>
      </c>
      <c r="I1081" s="9">
        <f t="shared" ca="1" si="33"/>
        <v>0.68078574812829451</v>
      </c>
    </row>
    <row r="1082" spans="1:9" ht="15.75" customHeight="1" x14ac:dyDescent="0.15">
      <c r="A1082" s="10">
        <f t="shared" si="32"/>
        <v>1081</v>
      </c>
      <c r="B1082" s="10" t="s">
        <v>20</v>
      </c>
      <c r="C1082" s="10" t="s">
        <v>32</v>
      </c>
      <c r="D1082" s="11" t="s">
        <v>3163</v>
      </c>
      <c r="E1082" s="12" t="s">
        <v>174</v>
      </c>
      <c r="F1082" s="11" t="s">
        <v>3164</v>
      </c>
      <c r="G1082" s="13"/>
      <c r="H1082" s="22">
        <v>0</v>
      </c>
      <c r="I1082" s="9">
        <f t="shared" ca="1" si="33"/>
        <v>0.47634990148938816</v>
      </c>
    </row>
    <row r="1083" spans="1:9" ht="15.75" hidden="1" customHeight="1" x14ac:dyDescent="0.15">
      <c r="A1083" s="10">
        <f t="shared" si="32"/>
        <v>1082</v>
      </c>
      <c r="B1083" s="12" t="s">
        <v>3253</v>
      </c>
      <c r="C1083" s="10" t="s">
        <v>11</v>
      </c>
      <c r="D1083" s="12" t="s">
        <v>3165</v>
      </c>
      <c r="E1083" s="12" t="s">
        <v>3166</v>
      </c>
      <c r="F1083" s="11" t="s">
        <v>3167</v>
      </c>
      <c r="G1083" s="13"/>
      <c r="H1083" s="22">
        <v>0</v>
      </c>
      <c r="I1083" s="9">
        <f t="shared" ca="1" si="33"/>
        <v>0.82869298109720435</v>
      </c>
    </row>
    <row r="1084" spans="1:9" ht="15.75" hidden="1" customHeight="1" x14ac:dyDescent="0.15">
      <c r="A1084" s="10">
        <f t="shared" si="32"/>
        <v>1083</v>
      </c>
      <c r="B1084" s="10" t="s">
        <v>20</v>
      </c>
      <c r="C1084" s="10" t="s">
        <v>11</v>
      </c>
      <c r="D1084" s="12" t="s">
        <v>3168</v>
      </c>
      <c r="E1084" s="12" t="s">
        <v>3169</v>
      </c>
      <c r="F1084" s="11" t="s">
        <v>3170</v>
      </c>
      <c r="G1084" s="13"/>
      <c r="H1084" s="22">
        <v>0</v>
      </c>
      <c r="I1084" s="9">
        <f t="shared" ca="1" si="33"/>
        <v>9.9147612660880013E-2</v>
      </c>
    </row>
    <row r="1085" spans="1:9" ht="15.75" hidden="1" customHeight="1" x14ac:dyDescent="0.15">
      <c r="A1085" s="10">
        <f t="shared" si="32"/>
        <v>1084</v>
      </c>
      <c r="B1085" s="10" t="s">
        <v>20</v>
      </c>
      <c r="C1085" s="10" t="s">
        <v>16</v>
      </c>
      <c r="D1085" s="11" t="s">
        <v>3171</v>
      </c>
      <c r="E1085" s="13" t="s">
        <v>127</v>
      </c>
      <c r="F1085" s="19" t="s">
        <v>3172</v>
      </c>
      <c r="G1085" s="13"/>
      <c r="H1085" s="14">
        <v>1</v>
      </c>
      <c r="I1085" s="9">
        <f t="shared" ca="1" si="33"/>
        <v>0.30805147736031391</v>
      </c>
    </row>
    <row r="1086" spans="1:9" ht="15.75" customHeight="1" x14ac:dyDescent="0.15">
      <c r="A1086" s="10">
        <f t="shared" si="32"/>
        <v>1085</v>
      </c>
      <c r="B1086" s="11" t="s">
        <v>31</v>
      </c>
      <c r="C1086" s="10" t="s">
        <v>21</v>
      </c>
      <c r="D1086" s="12" t="s">
        <v>3173</v>
      </c>
      <c r="E1086" s="13" t="s">
        <v>134</v>
      </c>
      <c r="F1086" s="12" t="s">
        <v>3174</v>
      </c>
      <c r="G1086" s="13"/>
      <c r="H1086" s="22">
        <v>0</v>
      </c>
      <c r="I1086" s="9">
        <f t="shared" ca="1" si="33"/>
        <v>4.5654251763946552E-2</v>
      </c>
    </row>
    <row r="1087" spans="1:9" ht="15.75" hidden="1" customHeight="1" x14ac:dyDescent="0.15">
      <c r="A1087" s="10">
        <f t="shared" si="32"/>
        <v>1086</v>
      </c>
      <c r="B1087" s="12" t="s">
        <v>3253</v>
      </c>
      <c r="C1087" s="10" t="s">
        <v>11</v>
      </c>
      <c r="D1087" s="12" t="s">
        <v>3175</v>
      </c>
      <c r="E1087" s="12" t="s">
        <v>3176</v>
      </c>
      <c r="F1087" s="11" t="s">
        <v>3177</v>
      </c>
      <c r="G1087" s="13"/>
      <c r="H1087" s="22">
        <v>0</v>
      </c>
      <c r="I1087" s="9">
        <f t="shared" ca="1" si="33"/>
        <v>3.0859007694523322E-2</v>
      </c>
    </row>
    <row r="1088" spans="1:9" ht="15.75" customHeight="1" x14ac:dyDescent="0.15">
      <c r="A1088" s="10">
        <f t="shared" si="32"/>
        <v>1087</v>
      </c>
      <c r="B1088" s="10" t="s">
        <v>20</v>
      </c>
      <c r="C1088" s="10" t="s">
        <v>27</v>
      </c>
      <c r="D1088" s="11" t="s">
        <v>3178</v>
      </c>
      <c r="E1088" s="15">
        <v>11</v>
      </c>
      <c r="F1088" s="11" t="s">
        <v>3179</v>
      </c>
      <c r="G1088" s="13"/>
      <c r="H1088" s="14">
        <v>1</v>
      </c>
      <c r="I1088" s="9">
        <f t="shared" ca="1" si="33"/>
        <v>0.49403305173266421</v>
      </c>
    </row>
    <row r="1089" spans="1:9" ht="15.75" customHeight="1" x14ac:dyDescent="0.15">
      <c r="A1089" s="10">
        <f t="shared" si="32"/>
        <v>1088</v>
      </c>
      <c r="B1089" s="11" t="s">
        <v>31</v>
      </c>
      <c r="C1089" s="10" t="s">
        <v>32</v>
      </c>
      <c r="D1089" s="11" t="s">
        <v>3180</v>
      </c>
      <c r="E1089" s="12" t="s">
        <v>174</v>
      </c>
      <c r="F1089" s="11" t="s">
        <v>3181</v>
      </c>
      <c r="G1089" s="13"/>
      <c r="H1089" s="22">
        <v>0</v>
      </c>
      <c r="I1089" s="9">
        <f t="shared" ca="1" si="33"/>
        <v>0.55464939754115361</v>
      </c>
    </row>
    <row r="1090" spans="1:9" ht="15.75" customHeight="1" x14ac:dyDescent="0.15">
      <c r="A1090" s="10">
        <f t="shared" si="32"/>
        <v>1089</v>
      </c>
      <c r="B1090" s="12" t="s">
        <v>3253</v>
      </c>
      <c r="C1090" s="10" t="s">
        <v>21</v>
      </c>
      <c r="D1090" s="12" t="s">
        <v>3182</v>
      </c>
      <c r="E1090" s="13" t="s">
        <v>134</v>
      </c>
      <c r="F1090" s="12" t="s">
        <v>3183</v>
      </c>
      <c r="G1090" s="13"/>
      <c r="H1090" s="22">
        <v>0</v>
      </c>
      <c r="I1090" s="9">
        <f t="shared" ca="1" si="33"/>
        <v>0.20812282690927164</v>
      </c>
    </row>
    <row r="1091" spans="1:9" ht="15.75" customHeight="1" x14ac:dyDescent="0.15">
      <c r="A1091" s="10">
        <f t="shared" ref="A1091:A1121" si="34">ROW() - 1</f>
        <v>1090</v>
      </c>
      <c r="B1091" s="11" t="s">
        <v>36</v>
      </c>
      <c r="C1091" s="10" t="s">
        <v>21</v>
      </c>
      <c r="D1091" s="12" t="s">
        <v>3184</v>
      </c>
      <c r="E1091" s="13" t="s">
        <v>601</v>
      </c>
      <c r="F1091" s="11" t="s">
        <v>3185</v>
      </c>
      <c r="G1091" s="13"/>
      <c r="H1091" s="22">
        <v>0</v>
      </c>
      <c r="I1091" s="9">
        <f t="shared" ca="1" si="33"/>
        <v>0.35720085881188957</v>
      </c>
    </row>
    <row r="1092" spans="1:9" ht="15.75" hidden="1" customHeight="1" x14ac:dyDescent="0.15">
      <c r="A1092" s="10">
        <f t="shared" si="34"/>
        <v>1091</v>
      </c>
      <c r="B1092" s="10" t="s">
        <v>20</v>
      </c>
      <c r="C1092" s="10" t="s">
        <v>11</v>
      </c>
      <c r="D1092" s="12" t="s">
        <v>3186</v>
      </c>
      <c r="E1092" s="12" t="s">
        <v>3187</v>
      </c>
      <c r="F1092" s="11" t="s">
        <v>3188</v>
      </c>
      <c r="G1092" s="13"/>
      <c r="H1092" s="22">
        <v>0</v>
      </c>
      <c r="I1092" s="9">
        <f t="shared" ref="I1092:I1121" ca="1" si="35">RAND()</f>
        <v>0.51432932465478687</v>
      </c>
    </row>
    <row r="1093" spans="1:9" ht="15.75" customHeight="1" x14ac:dyDescent="0.15">
      <c r="A1093" s="10">
        <f t="shared" si="34"/>
        <v>1092</v>
      </c>
      <c r="B1093" s="12" t="s">
        <v>1266</v>
      </c>
      <c r="C1093" s="10" t="s">
        <v>32</v>
      </c>
      <c r="D1093" s="12" t="s">
        <v>3189</v>
      </c>
      <c r="E1093" s="12" t="s">
        <v>286</v>
      </c>
      <c r="F1093" s="11" t="s">
        <v>3190</v>
      </c>
      <c r="G1093" s="13"/>
      <c r="H1093" s="22">
        <v>0</v>
      </c>
      <c r="I1093" s="9">
        <f t="shared" ca="1" si="35"/>
        <v>7.3532453684544863E-2</v>
      </c>
    </row>
    <row r="1094" spans="1:9" ht="15.75" hidden="1" customHeight="1" x14ac:dyDescent="0.15">
      <c r="A1094" s="10">
        <f t="shared" si="34"/>
        <v>1093</v>
      </c>
      <c r="B1094" s="10" t="s">
        <v>20</v>
      </c>
      <c r="C1094" s="10" t="s">
        <v>16</v>
      </c>
      <c r="D1094" s="12" t="s">
        <v>3191</v>
      </c>
      <c r="E1094" s="13" t="s">
        <v>159</v>
      </c>
      <c r="F1094" s="12" t="s">
        <v>3192</v>
      </c>
      <c r="G1094" s="13"/>
      <c r="H1094" s="22">
        <v>0</v>
      </c>
      <c r="I1094" s="9">
        <f t="shared" ca="1" si="35"/>
        <v>0.33780859025019128</v>
      </c>
    </row>
    <row r="1095" spans="1:9" ht="15.75" customHeight="1" x14ac:dyDescent="0.15">
      <c r="A1095" s="10">
        <f t="shared" si="34"/>
        <v>1094</v>
      </c>
      <c r="B1095" s="10" t="s">
        <v>20</v>
      </c>
      <c r="C1095" s="10" t="s">
        <v>27</v>
      </c>
      <c r="D1095" s="11" t="s">
        <v>3193</v>
      </c>
      <c r="E1095" s="15">
        <v>80</v>
      </c>
      <c r="F1095" s="11" t="s">
        <v>3194</v>
      </c>
      <c r="G1095" s="13"/>
      <c r="H1095" s="14">
        <v>1</v>
      </c>
      <c r="I1095" s="9">
        <f t="shared" ca="1" si="35"/>
        <v>0.31947398359329415</v>
      </c>
    </row>
    <row r="1096" spans="1:9" ht="15.75" hidden="1" customHeight="1" x14ac:dyDescent="0.15">
      <c r="A1096" s="10">
        <f t="shared" si="34"/>
        <v>1095</v>
      </c>
      <c r="B1096" s="12" t="s">
        <v>3253</v>
      </c>
      <c r="C1096" s="10" t="s">
        <v>16</v>
      </c>
      <c r="D1096" s="12" t="s">
        <v>3195</v>
      </c>
      <c r="E1096" s="13" t="s">
        <v>106</v>
      </c>
      <c r="F1096" s="12" t="s">
        <v>3196</v>
      </c>
      <c r="G1096" s="13"/>
      <c r="H1096" s="22">
        <v>0</v>
      </c>
      <c r="I1096" s="9">
        <f t="shared" ca="1" si="35"/>
        <v>0.8060096378177678</v>
      </c>
    </row>
    <row r="1097" spans="1:9" ht="15.75" customHeight="1" x14ac:dyDescent="0.15">
      <c r="A1097" s="10">
        <f t="shared" si="34"/>
        <v>1096</v>
      </c>
      <c r="B1097" s="11" t="s">
        <v>31</v>
      </c>
      <c r="C1097" s="10" t="s">
        <v>32</v>
      </c>
      <c r="D1097" s="11" t="s">
        <v>3197</v>
      </c>
      <c r="E1097" s="12" t="s">
        <v>174</v>
      </c>
      <c r="F1097" s="11" t="s">
        <v>3198</v>
      </c>
      <c r="G1097" s="13"/>
      <c r="H1097" s="22">
        <v>0</v>
      </c>
      <c r="I1097" s="9">
        <f t="shared" ca="1" si="35"/>
        <v>0.17429632887836499</v>
      </c>
    </row>
    <row r="1098" spans="1:9" ht="15.75" customHeight="1" x14ac:dyDescent="0.15">
      <c r="A1098" s="10">
        <f t="shared" si="34"/>
        <v>1097</v>
      </c>
      <c r="B1098" s="10" t="s">
        <v>20</v>
      </c>
      <c r="C1098" s="10" t="s">
        <v>21</v>
      </c>
      <c r="D1098" s="12" t="s">
        <v>3199</v>
      </c>
      <c r="E1098" s="13" t="s">
        <v>601</v>
      </c>
      <c r="F1098" s="12" t="s">
        <v>3200</v>
      </c>
      <c r="G1098" s="13"/>
      <c r="H1098" s="22">
        <v>0</v>
      </c>
      <c r="I1098" s="9">
        <f t="shared" ca="1" si="35"/>
        <v>0.69698784007115744</v>
      </c>
    </row>
    <row r="1099" spans="1:9" ht="15.75" hidden="1" customHeight="1" x14ac:dyDescent="0.15">
      <c r="A1099" s="10">
        <f t="shared" si="34"/>
        <v>1098</v>
      </c>
      <c r="B1099" s="10" t="s">
        <v>20</v>
      </c>
      <c r="C1099" s="10" t="s">
        <v>16</v>
      </c>
      <c r="D1099" s="12" t="s">
        <v>3201</v>
      </c>
      <c r="E1099" s="13" t="s">
        <v>106</v>
      </c>
      <c r="F1099" s="12" t="s">
        <v>3202</v>
      </c>
      <c r="G1099" s="13"/>
      <c r="H1099" s="22">
        <v>0</v>
      </c>
      <c r="I1099" s="9">
        <f t="shared" ca="1" si="35"/>
        <v>9.9775547707785073E-2</v>
      </c>
    </row>
    <row r="1100" spans="1:9" ht="15.75" customHeight="1" x14ac:dyDescent="0.15">
      <c r="A1100" s="10">
        <f t="shared" si="34"/>
        <v>1099</v>
      </c>
      <c r="B1100" s="11" t="s">
        <v>36</v>
      </c>
      <c r="C1100" s="10" t="s">
        <v>21</v>
      </c>
      <c r="D1100" s="11" t="s">
        <v>3203</v>
      </c>
      <c r="E1100" s="13" t="s">
        <v>560</v>
      </c>
      <c r="F1100" s="11" t="s">
        <v>3204</v>
      </c>
      <c r="G1100" s="13"/>
      <c r="H1100" s="22">
        <v>0</v>
      </c>
      <c r="I1100" s="9">
        <f t="shared" ca="1" si="35"/>
        <v>0.83555304255819129</v>
      </c>
    </row>
    <row r="1101" spans="1:9" ht="15.75" hidden="1" customHeight="1" x14ac:dyDescent="0.15">
      <c r="A1101" s="10">
        <f t="shared" si="34"/>
        <v>1100</v>
      </c>
      <c r="B1101" s="12" t="s">
        <v>20</v>
      </c>
      <c r="C1101" s="10" t="s">
        <v>16</v>
      </c>
      <c r="D1101" s="12" t="s">
        <v>3205</v>
      </c>
      <c r="E1101" s="13" t="s">
        <v>159</v>
      </c>
      <c r="F1101" s="12" t="s">
        <v>3206</v>
      </c>
      <c r="G1101" s="13"/>
      <c r="H1101" s="22">
        <v>0</v>
      </c>
      <c r="I1101" s="9">
        <f t="shared" ca="1" si="35"/>
        <v>0.37531742084131414</v>
      </c>
    </row>
    <row r="1102" spans="1:9" ht="15.75" customHeight="1" x14ac:dyDescent="0.15">
      <c r="A1102" s="10">
        <f t="shared" si="34"/>
        <v>1101</v>
      </c>
      <c r="B1102" s="10" t="s">
        <v>20</v>
      </c>
      <c r="C1102" s="10" t="s">
        <v>21</v>
      </c>
      <c r="D1102" s="12" t="s">
        <v>3207</v>
      </c>
      <c r="E1102" s="13" t="s">
        <v>1361</v>
      </c>
      <c r="F1102" s="12" t="s">
        <v>3208</v>
      </c>
      <c r="G1102" s="13"/>
      <c r="H1102" s="22">
        <v>0</v>
      </c>
      <c r="I1102" s="9">
        <f t="shared" ca="1" si="35"/>
        <v>0.17392020213492454</v>
      </c>
    </row>
    <row r="1103" spans="1:9" ht="15.75" customHeight="1" x14ac:dyDescent="0.15">
      <c r="A1103" s="10">
        <f t="shared" si="34"/>
        <v>1102</v>
      </c>
      <c r="B1103" s="12" t="s">
        <v>1266</v>
      </c>
      <c r="C1103" s="10" t="s">
        <v>32</v>
      </c>
      <c r="D1103" s="11" t="s">
        <v>3209</v>
      </c>
      <c r="E1103" s="12" t="s">
        <v>286</v>
      </c>
      <c r="F1103" s="11" t="s">
        <v>3210</v>
      </c>
      <c r="G1103" s="13"/>
      <c r="H1103" s="22">
        <v>0</v>
      </c>
      <c r="I1103" s="9">
        <f t="shared" ca="1" si="35"/>
        <v>0.29185294099920334</v>
      </c>
    </row>
    <row r="1104" spans="1:9" ht="15.75" customHeight="1" x14ac:dyDescent="0.15">
      <c r="A1104" s="10">
        <f t="shared" si="34"/>
        <v>1103</v>
      </c>
      <c r="B1104" s="12" t="s">
        <v>1266</v>
      </c>
      <c r="C1104" s="10" t="s">
        <v>21</v>
      </c>
      <c r="D1104" s="12" t="s">
        <v>3211</v>
      </c>
      <c r="E1104" s="13" t="s">
        <v>1187</v>
      </c>
      <c r="F1104" s="12" t="s">
        <v>3212</v>
      </c>
      <c r="G1104" s="13"/>
      <c r="H1104" s="22">
        <v>0</v>
      </c>
      <c r="I1104" s="9">
        <f t="shared" ca="1" si="35"/>
        <v>0.43136522610460737</v>
      </c>
    </row>
    <row r="1105" spans="1:9" ht="15.75" hidden="1" customHeight="1" x14ac:dyDescent="0.15">
      <c r="A1105" s="10">
        <f t="shared" si="34"/>
        <v>1104</v>
      </c>
      <c r="B1105" s="11" t="s">
        <v>36</v>
      </c>
      <c r="C1105" s="10" t="s">
        <v>11</v>
      </c>
      <c r="D1105" s="11" t="s">
        <v>3213</v>
      </c>
      <c r="E1105" s="12" t="s">
        <v>3214</v>
      </c>
      <c r="F1105" s="11" t="s">
        <v>3215</v>
      </c>
      <c r="G1105" s="13"/>
      <c r="H1105" s="22">
        <v>0</v>
      </c>
      <c r="I1105" s="9">
        <f t="shared" ca="1" si="35"/>
        <v>0.65176199117879197</v>
      </c>
    </row>
    <row r="1106" spans="1:9" ht="15.75" customHeight="1" x14ac:dyDescent="0.15">
      <c r="A1106" s="10">
        <f t="shared" si="34"/>
        <v>1105</v>
      </c>
      <c r="B1106" s="11" t="s">
        <v>31</v>
      </c>
      <c r="C1106" s="10" t="s">
        <v>32</v>
      </c>
      <c r="D1106" s="11" t="s">
        <v>3216</v>
      </c>
      <c r="E1106" s="12" t="s">
        <v>174</v>
      </c>
      <c r="F1106" s="11" t="s">
        <v>3217</v>
      </c>
      <c r="G1106" s="13"/>
      <c r="H1106" s="22">
        <v>0</v>
      </c>
      <c r="I1106" s="9">
        <f t="shared" ca="1" si="35"/>
        <v>4.7103236343492116E-2</v>
      </c>
    </row>
    <row r="1107" spans="1:9" ht="15.75" customHeight="1" x14ac:dyDescent="0.15">
      <c r="A1107" s="10">
        <f t="shared" si="34"/>
        <v>1106</v>
      </c>
      <c r="B1107" s="12" t="s">
        <v>1266</v>
      </c>
      <c r="C1107" s="10" t="s">
        <v>27</v>
      </c>
      <c r="D1107" s="12" t="s">
        <v>3218</v>
      </c>
      <c r="E1107" s="12" t="s">
        <v>3219</v>
      </c>
      <c r="F1107" s="12" t="s">
        <v>3220</v>
      </c>
      <c r="G1107" s="13"/>
      <c r="H1107" s="22">
        <v>0</v>
      </c>
      <c r="I1107" s="9">
        <f t="shared" ca="1" si="35"/>
        <v>0.58343740787008858</v>
      </c>
    </row>
    <row r="1108" spans="1:9" ht="15.75" hidden="1" customHeight="1" x14ac:dyDescent="0.15">
      <c r="A1108" s="10">
        <f t="shared" si="34"/>
        <v>1107</v>
      </c>
      <c r="B1108" s="12" t="s">
        <v>20</v>
      </c>
      <c r="C1108" s="10" t="s">
        <v>16</v>
      </c>
      <c r="D1108" s="11" t="s">
        <v>3221</v>
      </c>
      <c r="E1108" s="13" t="s">
        <v>127</v>
      </c>
      <c r="F1108" s="11" t="s">
        <v>3222</v>
      </c>
      <c r="G1108" s="13"/>
      <c r="H1108" s="22">
        <v>0</v>
      </c>
      <c r="I1108" s="9">
        <f t="shared" ca="1" si="35"/>
        <v>0.54031427283641509</v>
      </c>
    </row>
    <row r="1109" spans="1:9" ht="15.75" hidden="1" customHeight="1" x14ac:dyDescent="0.15">
      <c r="A1109" s="10">
        <f t="shared" si="34"/>
        <v>1108</v>
      </c>
      <c r="B1109" s="10" t="s">
        <v>20</v>
      </c>
      <c r="C1109" s="10" t="s">
        <v>16</v>
      </c>
      <c r="D1109" s="12" t="s">
        <v>3223</v>
      </c>
      <c r="E1109" s="13" t="s">
        <v>127</v>
      </c>
      <c r="F1109" s="12" t="s">
        <v>3224</v>
      </c>
      <c r="G1109" s="13"/>
      <c r="H1109" s="22">
        <v>0</v>
      </c>
      <c r="I1109" s="9">
        <f t="shared" ca="1" si="35"/>
        <v>0.33936406141758679</v>
      </c>
    </row>
    <row r="1110" spans="1:9" ht="15.75" customHeight="1" x14ac:dyDescent="0.15">
      <c r="A1110" s="10">
        <f t="shared" si="34"/>
        <v>1109</v>
      </c>
      <c r="B1110" s="12" t="s">
        <v>3253</v>
      </c>
      <c r="C1110" s="10" t="s">
        <v>27</v>
      </c>
      <c r="D1110" s="11" t="s">
        <v>3225</v>
      </c>
      <c r="E1110" s="11" t="s">
        <v>3226</v>
      </c>
      <c r="F1110" s="11" t="s">
        <v>3227</v>
      </c>
      <c r="G1110" s="13"/>
      <c r="H1110" s="14">
        <v>1</v>
      </c>
      <c r="I1110" s="9">
        <f t="shared" ca="1" si="35"/>
        <v>0.48272934360982533</v>
      </c>
    </row>
    <row r="1111" spans="1:9" ht="15.75" customHeight="1" x14ac:dyDescent="0.15">
      <c r="A1111" s="10">
        <f t="shared" si="34"/>
        <v>1110</v>
      </c>
      <c r="B1111" s="12" t="s">
        <v>3253</v>
      </c>
      <c r="C1111" s="10" t="s">
        <v>32</v>
      </c>
      <c r="D1111" s="11" t="s">
        <v>3228</v>
      </c>
      <c r="E1111" s="12" t="s">
        <v>286</v>
      </c>
      <c r="F1111" s="11" t="s">
        <v>3229</v>
      </c>
      <c r="G1111" s="13"/>
      <c r="H1111" s="22">
        <v>0</v>
      </c>
      <c r="I1111" s="9">
        <f t="shared" ca="1" si="35"/>
        <v>0.56870183556154852</v>
      </c>
    </row>
    <row r="1112" spans="1:9" ht="15.75" hidden="1" customHeight="1" x14ac:dyDescent="0.15">
      <c r="A1112" s="10">
        <f t="shared" si="34"/>
        <v>1111</v>
      </c>
      <c r="B1112" s="11" t="s">
        <v>36</v>
      </c>
      <c r="C1112" s="10" t="s">
        <v>11</v>
      </c>
      <c r="D1112" s="11" t="s">
        <v>3230</v>
      </c>
      <c r="E1112" s="12" t="s">
        <v>3231</v>
      </c>
      <c r="F1112" s="11" t="s">
        <v>3232</v>
      </c>
      <c r="G1112" s="13"/>
      <c r="H1112" s="22">
        <v>0</v>
      </c>
      <c r="I1112" s="9">
        <f t="shared" ca="1" si="35"/>
        <v>0.31054911471568669</v>
      </c>
    </row>
    <row r="1113" spans="1:9" ht="15.75" hidden="1" customHeight="1" x14ac:dyDescent="0.15">
      <c r="A1113" s="10">
        <f t="shared" si="34"/>
        <v>1112</v>
      </c>
      <c r="B1113" s="12" t="s">
        <v>20</v>
      </c>
      <c r="C1113" s="10" t="s">
        <v>16</v>
      </c>
      <c r="D1113" s="11" t="s">
        <v>3233</v>
      </c>
      <c r="E1113" s="13" t="s">
        <v>98</v>
      </c>
      <c r="F1113" s="11" t="s">
        <v>3234</v>
      </c>
      <c r="G1113" s="13"/>
      <c r="H1113" s="22">
        <v>0</v>
      </c>
      <c r="I1113" s="9">
        <f t="shared" ca="1" si="35"/>
        <v>0.88898999072947527</v>
      </c>
    </row>
    <row r="1114" spans="1:9" ht="15.75" hidden="1" customHeight="1" x14ac:dyDescent="0.15">
      <c r="A1114" s="10">
        <f t="shared" si="34"/>
        <v>1113</v>
      </c>
      <c r="B1114" s="10" t="s">
        <v>20</v>
      </c>
      <c r="C1114" s="10" t="s">
        <v>16</v>
      </c>
      <c r="D1114" s="11" t="s">
        <v>3235</v>
      </c>
      <c r="E1114" s="13" t="s">
        <v>159</v>
      </c>
      <c r="F1114" s="11" t="s">
        <v>3236</v>
      </c>
      <c r="G1114" s="13"/>
      <c r="H1114" s="22">
        <v>0</v>
      </c>
      <c r="I1114" s="9">
        <f t="shared" ca="1" si="35"/>
        <v>0.18978757135696489</v>
      </c>
    </row>
    <row r="1115" spans="1:9" ht="15.75" customHeight="1" x14ac:dyDescent="0.15">
      <c r="A1115" s="10">
        <f t="shared" si="34"/>
        <v>1114</v>
      </c>
      <c r="B1115" s="12" t="s">
        <v>3253</v>
      </c>
      <c r="C1115" s="10" t="s">
        <v>27</v>
      </c>
      <c r="D1115" s="12" t="s">
        <v>3237</v>
      </c>
      <c r="E1115" s="12" t="s">
        <v>3238</v>
      </c>
      <c r="F1115" s="12" t="s">
        <v>3239</v>
      </c>
      <c r="G1115" s="13"/>
      <c r="H1115" s="22">
        <v>0</v>
      </c>
      <c r="I1115" s="9">
        <f t="shared" ca="1" si="35"/>
        <v>0.50667739760743669</v>
      </c>
    </row>
    <row r="1116" spans="1:9" ht="15.75" customHeight="1" x14ac:dyDescent="0.15">
      <c r="A1116" s="10">
        <f t="shared" si="34"/>
        <v>1115</v>
      </c>
      <c r="B1116" s="11" t="s">
        <v>36</v>
      </c>
      <c r="C1116" s="10" t="s">
        <v>21</v>
      </c>
      <c r="D1116" s="11" t="s">
        <v>3240</v>
      </c>
      <c r="E1116" s="13" t="s">
        <v>1187</v>
      </c>
      <c r="F1116" s="11" t="s">
        <v>3241</v>
      </c>
      <c r="G1116" s="13"/>
      <c r="H1116" s="22">
        <v>0</v>
      </c>
      <c r="I1116" s="9">
        <f t="shared" ca="1" si="35"/>
        <v>0.57377022521533472</v>
      </c>
    </row>
    <row r="1117" spans="1:9" ht="15.75" customHeight="1" x14ac:dyDescent="0.15">
      <c r="A1117" s="10">
        <f t="shared" si="34"/>
        <v>1116</v>
      </c>
      <c r="B1117" s="12" t="s">
        <v>1266</v>
      </c>
      <c r="C1117" s="10" t="s">
        <v>27</v>
      </c>
      <c r="D1117" s="12" t="s">
        <v>3242</v>
      </c>
      <c r="E1117" s="12" t="s">
        <v>3243</v>
      </c>
      <c r="F1117" s="12" t="s">
        <v>3244</v>
      </c>
      <c r="G1117" s="13"/>
      <c r="H1117" s="22">
        <v>0</v>
      </c>
      <c r="I1117" s="9">
        <f t="shared" ca="1" si="35"/>
        <v>0.54833222003923199</v>
      </c>
    </row>
    <row r="1118" spans="1:9" ht="15.75" hidden="1" customHeight="1" x14ac:dyDescent="0.15">
      <c r="A1118" s="10">
        <f t="shared" si="34"/>
        <v>1117</v>
      </c>
      <c r="B1118" s="11" t="s">
        <v>36</v>
      </c>
      <c r="C1118" s="10" t="s">
        <v>16</v>
      </c>
      <c r="D1118" s="11" t="s">
        <v>3294</v>
      </c>
      <c r="E1118" s="13" t="s">
        <v>98</v>
      </c>
      <c r="F1118" s="12" t="s">
        <v>3245</v>
      </c>
      <c r="G1118" s="13"/>
      <c r="H1118" s="14">
        <v>1</v>
      </c>
      <c r="I1118" s="9">
        <f t="shared" ca="1" si="35"/>
        <v>0.78615998763423889</v>
      </c>
    </row>
    <row r="1119" spans="1:9" ht="15.75" customHeight="1" x14ac:dyDescent="0.15">
      <c r="A1119" s="10">
        <f t="shared" si="34"/>
        <v>1118</v>
      </c>
      <c r="B1119" s="12" t="s">
        <v>1266</v>
      </c>
      <c r="C1119" s="10" t="s">
        <v>21</v>
      </c>
      <c r="D1119" s="12" t="s">
        <v>3246</v>
      </c>
      <c r="E1119" s="13" t="s">
        <v>1361</v>
      </c>
      <c r="F1119" s="12" t="s">
        <v>3247</v>
      </c>
      <c r="G1119" s="13"/>
      <c r="H1119" s="22">
        <v>0</v>
      </c>
      <c r="I1119" s="9">
        <f t="shared" ca="1" si="35"/>
        <v>0.70404082025056214</v>
      </c>
    </row>
    <row r="1120" spans="1:9" ht="15.75" customHeight="1" x14ac:dyDescent="0.15">
      <c r="A1120" s="10">
        <f t="shared" si="34"/>
        <v>1119</v>
      </c>
      <c r="B1120" s="11" t="s">
        <v>31</v>
      </c>
      <c r="C1120" s="10" t="s">
        <v>27</v>
      </c>
      <c r="D1120" s="11" t="s">
        <v>3248</v>
      </c>
      <c r="E1120" s="12" t="s">
        <v>3249</v>
      </c>
      <c r="F1120" s="11" t="s">
        <v>3250</v>
      </c>
      <c r="G1120" s="13"/>
      <c r="H1120" s="22">
        <v>0</v>
      </c>
      <c r="I1120" s="9">
        <f t="shared" ca="1" si="35"/>
        <v>0.93112972259195148</v>
      </c>
    </row>
    <row r="1121" spans="1:9" ht="15.75" customHeight="1" x14ac:dyDescent="0.15">
      <c r="A1121" s="10">
        <f t="shared" si="34"/>
        <v>1120</v>
      </c>
      <c r="B1121" s="10" t="s">
        <v>20</v>
      </c>
      <c r="C1121" s="10" t="s">
        <v>21</v>
      </c>
      <c r="D1121" s="11" t="s">
        <v>3251</v>
      </c>
      <c r="E1121" s="13" t="s">
        <v>620</v>
      </c>
      <c r="F1121" s="11" t="s">
        <v>3252</v>
      </c>
      <c r="G1121" s="13"/>
      <c r="H1121" s="22">
        <v>0</v>
      </c>
      <c r="I1121" s="9">
        <f t="shared" ca="1" si="35"/>
        <v>0.45856295248348655</v>
      </c>
    </row>
  </sheetData>
  <autoFilter ref="A1:F1121" xr:uid="{00000000-0009-0000-0000-000001000000}">
    <filterColumn colId="2">
      <filters>
        <filter val="FB"/>
        <filter val="MS"/>
        <filter val="TF"/>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253"/>
  <sheetViews>
    <sheetView topLeftCell="A49" workbookViewId="0">
      <selection activeCell="E55" sqref="E55:F55"/>
    </sheetView>
  </sheetViews>
  <sheetFormatPr baseColWidth="10" defaultColWidth="12.5" defaultRowHeight="15.75" customHeight="1" x14ac:dyDescent="0.15"/>
  <cols>
    <col min="2" max="2" width="33.33203125" customWidth="1"/>
    <col min="3" max="3" width="11.5" customWidth="1"/>
    <col min="4" max="4" width="38.6640625" customWidth="1"/>
    <col min="5" max="5" width="18.33203125" customWidth="1"/>
    <col min="6" max="6" width="15.1640625" customWidth="1"/>
  </cols>
  <sheetData>
    <row r="1" spans="1:7" ht="16" customHeight="1" thickBot="1" x14ac:dyDescent="0.2">
      <c r="A1" s="1" t="s">
        <v>0</v>
      </c>
      <c r="B1" s="4" t="s">
        <v>1</v>
      </c>
      <c r="C1" s="4" t="s">
        <v>2</v>
      </c>
      <c r="D1" s="1" t="s">
        <v>3</v>
      </c>
      <c r="E1" s="1" t="s">
        <v>4</v>
      </c>
      <c r="F1" s="1" t="s">
        <v>5</v>
      </c>
      <c r="G1" s="1" t="s">
        <v>6</v>
      </c>
    </row>
    <row r="2" spans="1:7" ht="16" customHeight="1" thickBot="1" x14ac:dyDescent="0.2">
      <c r="A2" s="6">
        <v>1</v>
      </c>
      <c r="B2" s="6" t="s">
        <v>10</v>
      </c>
      <c r="C2" s="6" t="s">
        <v>11</v>
      </c>
      <c r="D2" s="6" t="s">
        <v>624</v>
      </c>
      <c r="E2" s="6" t="s">
        <v>625</v>
      </c>
      <c r="F2" s="6" t="s">
        <v>626</v>
      </c>
      <c r="G2" s="6" t="s">
        <v>15</v>
      </c>
    </row>
    <row r="3" spans="1:7" ht="16" customHeight="1" thickBot="1" x14ac:dyDescent="0.2">
      <c r="A3" s="6">
        <v>2</v>
      </c>
      <c r="B3" s="6" t="s">
        <v>10</v>
      </c>
      <c r="C3" s="6" t="s">
        <v>11</v>
      </c>
      <c r="D3" s="6" t="s">
        <v>627</v>
      </c>
      <c r="E3" s="6" t="s">
        <v>628</v>
      </c>
      <c r="F3" s="6" t="s">
        <v>629</v>
      </c>
      <c r="G3" s="6" t="s">
        <v>15</v>
      </c>
    </row>
    <row r="4" spans="1:7" ht="16" customHeight="1" thickBot="1" x14ac:dyDescent="0.2">
      <c r="A4" s="6">
        <v>3</v>
      </c>
      <c r="B4" s="6" t="s">
        <v>10</v>
      </c>
      <c r="C4" s="6" t="s">
        <v>11</v>
      </c>
      <c r="D4" s="6" t="s">
        <v>630</v>
      </c>
      <c r="E4" s="6" t="s">
        <v>631</v>
      </c>
      <c r="F4" s="6" t="s">
        <v>632</v>
      </c>
      <c r="G4" s="6" t="s">
        <v>25</v>
      </c>
    </row>
    <row r="5" spans="1:7" ht="16" customHeight="1" thickBot="1" x14ac:dyDescent="0.2">
      <c r="A5" s="6">
        <v>4</v>
      </c>
      <c r="B5" s="6" t="s">
        <v>10</v>
      </c>
      <c r="C5" s="6" t="s">
        <v>11</v>
      </c>
      <c r="D5" s="6" t="s">
        <v>633</v>
      </c>
      <c r="E5" s="6" t="s">
        <v>634</v>
      </c>
      <c r="F5" s="6" t="s">
        <v>635</v>
      </c>
      <c r="G5" s="6" t="s">
        <v>25</v>
      </c>
    </row>
    <row r="6" spans="1:7" ht="16" customHeight="1" thickBot="1" x14ac:dyDescent="0.2">
      <c r="A6" s="6">
        <v>5</v>
      </c>
      <c r="B6" s="6" t="s">
        <v>10</v>
      </c>
      <c r="C6" s="6" t="s">
        <v>11</v>
      </c>
      <c r="D6" s="6" t="s">
        <v>636</v>
      </c>
      <c r="E6" s="6" t="s">
        <v>637</v>
      </c>
      <c r="F6" s="6" t="s">
        <v>638</v>
      </c>
      <c r="G6" s="6" t="s">
        <v>15</v>
      </c>
    </row>
    <row r="7" spans="1:7" ht="16" customHeight="1" thickBot="1" x14ac:dyDescent="0.2">
      <c r="A7" s="6">
        <v>6</v>
      </c>
      <c r="B7" s="6" t="s">
        <v>10</v>
      </c>
      <c r="C7" s="6" t="s">
        <v>11</v>
      </c>
      <c r="D7" s="6" t="s">
        <v>639</v>
      </c>
      <c r="E7" s="6" t="s">
        <v>640</v>
      </c>
      <c r="F7" s="6" t="s">
        <v>641</v>
      </c>
      <c r="G7" s="6" t="s">
        <v>15</v>
      </c>
    </row>
    <row r="8" spans="1:7" ht="16" customHeight="1" thickBot="1" x14ac:dyDescent="0.2">
      <c r="A8" s="6">
        <v>7</v>
      </c>
      <c r="B8" s="6" t="s">
        <v>10</v>
      </c>
      <c r="C8" s="6" t="s">
        <v>11</v>
      </c>
      <c r="D8" s="6" t="s">
        <v>642</v>
      </c>
      <c r="E8" s="6" t="s">
        <v>643</v>
      </c>
      <c r="F8" s="6" t="s">
        <v>644</v>
      </c>
      <c r="G8" s="6" t="s">
        <v>15</v>
      </c>
    </row>
    <row r="9" spans="1:7" ht="16" customHeight="1" thickBot="1" x14ac:dyDescent="0.2">
      <c r="A9" s="6">
        <v>8</v>
      </c>
      <c r="B9" s="6" t="s">
        <v>10</v>
      </c>
      <c r="C9" s="6" t="s">
        <v>11</v>
      </c>
      <c r="D9" s="6" t="s">
        <v>645</v>
      </c>
      <c r="E9" s="6" t="s">
        <v>646</v>
      </c>
      <c r="F9" s="6" t="s">
        <v>647</v>
      </c>
      <c r="G9" s="6" t="s">
        <v>15</v>
      </c>
    </row>
    <row r="10" spans="1:7" ht="16" customHeight="1" thickBot="1" x14ac:dyDescent="0.2">
      <c r="A10" s="6">
        <v>9</v>
      </c>
      <c r="B10" s="6" t="s">
        <v>10</v>
      </c>
      <c r="C10" s="6" t="s">
        <v>32</v>
      </c>
      <c r="D10" s="6" t="s">
        <v>648</v>
      </c>
      <c r="E10" s="6" t="s">
        <v>649</v>
      </c>
      <c r="F10" s="6" t="s">
        <v>650</v>
      </c>
      <c r="G10" s="6" t="s">
        <v>25</v>
      </c>
    </row>
    <row r="11" spans="1:7" ht="16" customHeight="1" thickBot="1" x14ac:dyDescent="0.2">
      <c r="A11" s="6">
        <v>10</v>
      </c>
      <c r="B11" s="6" t="s">
        <v>10</v>
      </c>
      <c r="C11" s="6" t="s">
        <v>32</v>
      </c>
      <c r="D11" s="6" t="s">
        <v>651</v>
      </c>
      <c r="E11" s="6" t="s">
        <v>652</v>
      </c>
      <c r="F11" s="6" t="s">
        <v>653</v>
      </c>
      <c r="G11" s="6" t="s">
        <v>25</v>
      </c>
    </row>
    <row r="12" spans="1:7" ht="16" customHeight="1" thickBot="1" x14ac:dyDescent="0.2">
      <c r="A12" s="6">
        <v>11</v>
      </c>
      <c r="B12" s="6" t="s">
        <v>10</v>
      </c>
      <c r="C12" s="6" t="s">
        <v>32</v>
      </c>
      <c r="D12" s="6" t="s">
        <v>654</v>
      </c>
      <c r="E12" s="6" t="s">
        <v>652</v>
      </c>
      <c r="F12" s="6" t="s">
        <v>655</v>
      </c>
      <c r="G12" s="6" t="s">
        <v>52</v>
      </c>
    </row>
    <row r="13" spans="1:7" ht="16" customHeight="1" thickBot="1" x14ac:dyDescent="0.2">
      <c r="A13" s="6">
        <v>12</v>
      </c>
      <c r="B13" s="6" t="s">
        <v>10</v>
      </c>
      <c r="C13" s="6" t="s">
        <v>32</v>
      </c>
      <c r="D13" s="6" t="s">
        <v>656</v>
      </c>
      <c r="E13" s="6" t="s">
        <v>657</v>
      </c>
      <c r="F13" s="6" t="s">
        <v>658</v>
      </c>
      <c r="G13" s="6" t="s">
        <v>25</v>
      </c>
    </row>
    <row r="14" spans="1:7" ht="16" customHeight="1" thickBot="1" x14ac:dyDescent="0.2">
      <c r="A14" s="6">
        <v>13</v>
      </c>
      <c r="B14" s="6" t="s">
        <v>10</v>
      </c>
      <c r="C14" s="6" t="s">
        <v>11</v>
      </c>
      <c r="D14" s="6" t="s">
        <v>659</v>
      </c>
      <c r="E14" s="6" t="s">
        <v>660</v>
      </c>
      <c r="F14" s="6" t="s">
        <v>661</v>
      </c>
      <c r="G14" s="6" t="s">
        <v>52</v>
      </c>
    </row>
    <row r="15" spans="1:7" ht="16" customHeight="1" thickBot="1" x14ac:dyDescent="0.2">
      <c r="A15" s="6">
        <v>14</v>
      </c>
      <c r="B15" s="6" t="s">
        <v>26</v>
      </c>
      <c r="C15" s="6" t="s">
        <v>11</v>
      </c>
      <c r="D15" s="6" t="s">
        <v>662</v>
      </c>
      <c r="E15" s="6" t="s">
        <v>663</v>
      </c>
      <c r="F15" s="6" t="s">
        <v>664</v>
      </c>
      <c r="G15" s="6" t="s">
        <v>52</v>
      </c>
    </row>
    <row r="16" spans="1:7" ht="16" customHeight="1" thickBot="1" x14ac:dyDescent="0.2">
      <c r="A16" s="6">
        <v>15</v>
      </c>
      <c r="B16" s="6" t="s">
        <v>26</v>
      </c>
      <c r="C16" s="6" t="s">
        <v>11</v>
      </c>
      <c r="D16" s="6" t="s">
        <v>665</v>
      </c>
      <c r="E16" s="6" t="s">
        <v>666</v>
      </c>
      <c r="F16" s="6" t="s">
        <v>667</v>
      </c>
      <c r="G16" s="6" t="s">
        <v>15</v>
      </c>
    </row>
    <row r="17" spans="1:7" ht="16" customHeight="1" thickBot="1" x14ac:dyDescent="0.2">
      <c r="A17" s="6">
        <v>16</v>
      </c>
      <c r="B17" s="6" t="s">
        <v>10</v>
      </c>
      <c r="C17" s="6" t="s">
        <v>11</v>
      </c>
      <c r="D17" s="6" t="s">
        <v>668</v>
      </c>
      <c r="E17" s="6" t="s">
        <v>65</v>
      </c>
      <c r="F17" s="6" t="s">
        <v>669</v>
      </c>
      <c r="G17" s="6" t="s">
        <v>25</v>
      </c>
    </row>
    <row r="18" spans="1:7" ht="16" customHeight="1" thickBot="1" x14ac:dyDescent="0.2">
      <c r="A18" s="6">
        <v>17</v>
      </c>
      <c r="B18" s="6" t="s">
        <v>10</v>
      </c>
      <c r="C18" s="6" t="s">
        <v>11</v>
      </c>
      <c r="D18" s="6" t="s">
        <v>670</v>
      </c>
      <c r="E18" s="6" t="s">
        <v>671</v>
      </c>
      <c r="F18" s="6" t="s">
        <v>672</v>
      </c>
      <c r="G18" s="6" t="s">
        <v>25</v>
      </c>
    </row>
    <row r="19" spans="1:7" ht="16" customHeight="1" thickBot="1" x14ac:dyDescent="0.2">
      <c r="A19" s="6">
        <v>18</v>
      </c>
      <c r="B19" s="6" t="s">
        <v>26</v>
      </c>
      <c r="C19" s="6" t="s">
        <v>27</v>
      </c>
      <c r="D19" s="6" t="s">
        <v>673</v>
      </c>
      <c r="E19" s="6" t="s">
        <v>71</v>
      </c>
      <c r="F19" s="6" t="s">
        <v>674</v>
      </c>
      <c r="G19" s="6" t="s">
        <v>25</v>
      </c>
    </row>
    <row r="20" spans="1:7" ht="16" customHeight="1" thickBot="1" x14ac:dyDescent="0.2">
      <c r="A20" s="6">
        <v>19</v>
      </c>
      <c r="B20" s="6" t="s">
        <v>10</v>
      </c>
      <c r="C20" s="6" t="s">
        <v>11</v>
      </c>
      <c r="D20" s="6" t="s">
        <v>675</v>
      </c>
      <c r="E20" s="6" t="s">
        <v>676</v>
      </c>
      <c r="F20" s="6" t="s">
        <v>677</v>
      </c>
      <c r="G20" s="6" t="s">
        <v>25</v>
      </c>
    </row>
    <row r="21" spans="1:7" ht="16" customHeight="1" thickBot="1" x14ac:dyDescent="0.2">
      <c r="A21" s="6">
        <v>20</v>
      </c>
      <c r="B21" s="6" t="s">
        <v>10</v>
      </c>
      <c r="C21" s="6" t="s">
        <v>11</v>
      </c>
      <c r="D21" s="6" t="s">
        <v>678</v>
      </c>
      <c r="E21" s="6" t="s">
        <v>679</v>
      </c>
      <c r="F21" s="6" t="s">
        <v>680</v>
      </c>
      <c r="G21" s="6" t="s">
        <v>25</v>
      </c>
    </row>
    <row r="22" spans="1:7" ht="16" customHeight="1" thickBot="1" x14ac:dyDescent="0.2">
      <c r="A22" s="6">
        <v>21</v>
      </c>
      <c r="B22" s="6" t="s">
        <v>10</v>
      </c>
      <c r="C22" s="6" t="s">
        <v>11</v>
      </c>
      <c r="D22" s="6" t="s">
        <v>681</v>
      </c>
      <c r="E22" s="6" t="s">
        <v>682</v>
      </c>
      <c r="F22" s="6" t="s">
        <v>683</v>
      </c>
      <c r="G22" s="6" t="s">
        <v>25</v>
      </c>
    </row>
    <row r="23" spans="1:7" ht="16" customHeight="1" thickBot="1" x14ac:dyDescent="0.2">
      <c r="A23" s="6">
        <v>22</v>
      </c>
      <c r="B23" s="6" t="s">
        <v>10</v>
      </c>
      <c r="C23" s="6" t="s">
        <v>11</v>
      </c>
      <c r="D23" s="6" t="s">
        <v>684</v>
      </c>
      <c r="E23" s="6" t="s">
        <v>685</v>
      </c>
      <c r="F23" s="6" t="s">
        <v>686</v>
      </c>
      <c r="G23" s="6" t="s">
        <v>15</v>
      </c>
    </row>
    <row r="24" spans="1:7" ht="16" customHeight="1" thickBot="1" x14ac:dyDescent="0.2">
      <c r="A24" s="6">
        <v>23</v>
      </c>
      <c r="B24" s="6" t="s">
        <v>10</v>
      </c>
      <c r="C24" s="6" t="s">
        <v>11</v>
      </c>
      <c r="D24" s="6" t="s">
        <v>687</v>
      </c>
      <c r="E24" s="6" t="s">
        <v>688</v>
      </c>
      <c r="F24" s="6" t="s">
        <v>689</v>
      </c>
      <c r="G24" s="6" t="s">
        <v>25</v>
      </c>
    </row>
    <row r="25" spans="1:7" ht="16" customHeight="1" thickBot="1" x14ac:dyDescent="0.2">
      <c r="A25" s="6">
        <v>24</v>
      </c>
      <c r="B25" s="6" t="s">
        <v>10</v>
      </c>
      <c r="C25" s="6" t="s">
        <v>11</v>
      </c>
      <c r="D25" s="6" t="s">
        <v>690</v>
      </c>
      <c r="E25" s="6" t="s">
        <v>691</v>
      </c>
      <c r="F25" s="6" t="s">
        <v>692</v>
      </c>
      <c r="G25" s="6" t="s">
        <v>15</v>
      </c>
    </row>
    <row r="26" spans="1:7" ht="16" customHeight="1" thickBot="1" x14ac:dyDescent="0.2">
      <c r="A26" s="6">
        <v>25</v>
      </c>
      <c r="B26" s="6" t="s">
        <v>10</v>
      </c>
      <c r="C26" s="6" t="s">
        <v>11</v>
      </c>
      <c r="D26" s="6" t="s">
        <v>693</v>
      </c>
      <c r="E26" s="6" t="s">
        <v>694</v>
      </c>
      <c r="F26" s="6" t="s">
        <v>695</v>
      </c>
      <c r="G26" s="6" t="s">
        <v>15</v>
      </c>
    </row>
    <row r="27" spans="1:7" ht="16" customHeight="1" thickBot="1" x14ac:dyDescent="0.2">
      <c r="A27" s="6">
        <v>26</v>
      </c>
      <c r="B27" s="6" t="s">
        <v>10</v>
      </c>
      <c r="C27" s="6" t="s">
        <v>11</v>
      </c>
      <c r="D27" s="6" t="s">
        <v>696</v>
      </c>
      <c r="E27" s="6" t="s">
        <v>697</v>
      </c>
      <c r="F27" s="6" t="s">
        <v>698</v>
      </c>
      <c r="G27" s="6" t="s">
        <v>15</v>
      </c>
    </row>
    <row r="28" spans="1:7" ht="16" customHeight="1" thickBot="1" x14ac:dyDescent="0.25">
      <c r="A28" s="6">
        <v>27</v>
      </c>
      <c r="B28" s="7" t="s">
        <v>10</v>
      </c>
      <c r="C28" s="7" t="s">
        <v>16</v>
      </c>
      <c r="D28" s="6" t="s">
        <v>699</v>
      </c>
      <c r="E28" s="6" t="s">
        <v>98</v>
      </c>
      <c r="F28" s="6" t="s">
        <v>700</v>
      </c>
      <c r="G28" s="6" t="s">
        <v>15</v>
      </c>
    </row>
    <row r="29" spans="1:7" ht="16" customHeight="1" thickBot="1" x14ac:dyDescent="0.2">
      <c r="A29" s="6">
        <v>28</v>
      </c>
      <c r="B29" s="6" t="s">
        <v>10</v>
      </c>
      <c r="C29" s="6" t="s">
        <v>11</v>
      </c>
      <c r="D29" s="6" t="s">
        <v>701</v>
      </c>
      <c r="E29" s="6" t="s">
        <v>702</v>
      </c>
      <c r="F29" s="6" t="s">
        <v>703</v>
      </c>
      <c r="G29" s="6" t="s">
        <v>25</v>
      </c>
    </row>
    <row r="30" spans="1:7" ht="16" customHeight="1" thickBot="1" x14ac:dyDescent="0.2">
      <c r="A30" s="6">
        <v>29</v>
      </c>
      <c r="B30" s="6" t="s">
        <v>20</v>
      </c>
      <c r="C30" s="6" t="s">
        <v>16</v>
      </c>
      <c r="D30" s="6" t="s">
        <v>704</v>
      </c>
      <c r="E30" s="6" t="s">
        <v>98</v>
      </c>
      <c r="F30" s="6" t="s">
        <v>705</v>
      </c>
      <c r="G30" s="6" t="s">
        <v>52</v>
      </c>
    </row>
    <row r="31" spans="1:7" ht="16" customHeight="1" thickBot="1" x14ac:dyDescent="0.2">
      <c r="A31" s="6">
        <v>30</v>
      </c>
      <c r="B31" s="6" t="s">
        <v>20</v>
      </c>
      <c r="C31" s="6" t="s">
        <v>16</v>
      </c>
      <c r="D31" s="6" t="s">
        <v>706</v>
      </c>
      <c r="E31" s="6" t="s">
        <v>106</v>
      </c>
      <c r="F31" s="6" t="s">
        <v>707</v>
      </c>
      <c r="G31" s="6" t="s">
        <v>52</v>
      </c>
    </row>
    <row r="32" spans="1:7" ht="16" customHeight="1" thickBot="1" x14ac:dyDescent="0.2">
      <c r="A32" s="6">
        <v>31</v>
      </c>
      <c r="B32" s="6" t="s">
        <v>10</v>
      </c>
      <c r="C32" s="6" t="s">
        <v>27</v>
      </c>
      <c r="D32" s="6" t="s">
        <v>708</v>
      </c>
      <c r="E32" s="6" t="s">
        <v>109</v>
      </c>
      <c r="F32" s="6" t="s">
        <v>709</v>
      </c>
      <c r="G32" s="6" t="s">
        <v>52</v>
      </c>
    </row>
    <row r="33" spans="1:7" ht="16" customHeight="1" thickBot="1" x14ac:dyDescent="0.2">
      <c r="A33" s="6">
        <v>32</v>
      </c>
      <c r="B33" s="6" t="s">
        <v>20</v>
      </c>
      <c r="C33" s="6" t="s">
        <v>16</v>
      </c>
      <c r="D33" s="6" t="s">
        <v>710</v>
      </c>
      <c r="E33" s="6" t="s">
        <v>106</v>
      </c>
      <c r="F33" s="6" t="s">
        <v>711</v>
      </c>
      <c r="G33" s="6" t="s">
        <v>25</v>
      </c>
    </row>
    <row r="34" spans="1:7" ht="16" customHeight="1" thickBot="1" x14ac:dyDescent="0.2">
      <c r="A34" s="6">
        <v>33</v>
      </c>
      <c r="B34" s="6" t="s">
        <v>10</v>
      </c>
      <c r="C34" s="6" t="s">
        <v>27</v>
      </c>
      <c r="D34" s="6" t="s">
        <v>712</v>
      </c>
      <c r="E34" s="6" t="s">
        <v>713</v>
      </c>
      <c r="F34" s="6" t="s">
        <v>714</v>
      </c>
      <c r="G34" s="6" t="s">
        <v>52</v>
      </c>
    </row>
    <row r="35" spans="1:7" ht="16" customHeight="1" thickBot="1" x14ac:dyDescent="0.2">
      <c r="A35" s="6">
        <v>34</v>
      </c>
      <c r="B35" s="6" t="s">
        <v>10</v>
      </c>
      <c r="C35" s="6" t="s">
        <v>11</v>
      </c>
      <c r="D35" s="6" t="s">
        <v>715</v>
      </c>
      <c r="E35" s="8">
        <v>14</v>
      </c>
      <c r="F35" s="6" t="s">
        <v>716</v>
      </c>
      <c r="G35" s="6" t="s">
        <v>25</v>
      </c>
    </row>
    <row r="36" spans="1:7" ht="16" customHeight="1" thickBot="1" x14ac:dyDescent="0.2">
      <c r="A36" s="6">
        <v>35</v>
      </c>
      <c r="B36" s="6" t="s">
        <v>10</v>
      </c>
      <c r="C36" s="6" t="s">
        <v>27</v>
      </c>
      <c r="D36" s="6" t="s">
        <v>717</v>
      </c>
      <c r="E36" s="6" t="s">
        <v>119</v>
      </c>
      <c r="F36" s="6" t="s">
        <v>718</v>
      </c>
      <c r="G36" s="6" t="s">
        <v>25</v>
      </c>
    </row>
    <row r="37" spans="1:7" ht="16" customHeight="1" thickBot="1" x14ac:dyDescent="0.2">
      <c r="A37" s="6">
        <v>36</v>
      </c>
      <c r="B37" s="6" t="s">
        <v>20</v>
      </c>
      <c r="C37" s="6" t="s">
        <v>27</v>
      </c>
      <c r="D37" s="6" t="s">
        <v>719</v>
      </c>
      <c r="E37" s="6" t="s">
        <v>720</v>
      </c>
      <c r="F37" s="6" t="s">
        <v>721</v>
      </c>
      <c r="G37" s="6" t="s">
        <v>25</v>
      </c>
    </row>
    <row r="38" spans="1:7" ht="16" customHeight="1" thickBot="1" x14ac:dyDescent="0.2">
      <c r="A38" s="6">
        <v>37</v>
      </c>
      <c r="B38" s="6" t="s">
        <v>10</v>
      </c>
      <c r="C38" s="6" t="s">
        <v>11</v>
      </c>
      <c r="D38" s="6" t="s">
        <v>722</v>
      </c>
      <c r="E38" s="6" t="s">
        <v>723</v>
      </c>
      <c r="F38" s="6" t="s">
        <v>724</v>
      </c>
      <c r="G38" s="6" t="s">
        <v>52</v>
      </c>
    </row>
    <row r="39" spans="1:7" ht="16" customHeight="1" thickBot="1" x14ac:dyDescent="0.25">
      <c r="A39" s="6">
        <v>38</v>
      </c>
      <c r="B39" s="6" t="s">
        <v>10</v>
      </c>
      <c r="C39" s="7" t="s">
        <v>21</v>
      </c>
      <c r="D39" s="6" t="s">
        <v>725</v>
      </c>
      <c r="E39" s="6" t="s">
        <v>127</v>
      </c>
      <c r="F39" s="6" t="s">
        <v>726</v>
      </c>
      <c r="G39" s="6" t="s">
        <v>25</v>
      </c>
    </row>
    <row r="40" spans="1:7" ht="16" customHeight="1" thickBot="1" x14ac:dyDescent="0.25">
      <c r="A40" s="6">
        <v>39</v>
      </c>
      <c r="B40" s="6" t="s">
        <v>10</v>
      </c>
      <c r="C40" s="7" t="s">
        <v>21</v>
      </c>
      <c r="D40" s="6" t="s">
        <v>727</v>
      </c>
      <c r="E40" s="6" t="s">
        <v>129</v>
      </c>
      <c r="F40" s="6" t="s">
        <v>728</v>
      </c>
      <c r="G40" s="6" t="s">
        <v>25</v>
      </c>
    </row>
    <row r="41" spans="1:7" ht="16" customHeight="1" thickBot="1" x14ac:dyDescent="0.25">
      <c r="A41" s="6">
        <v>40</v>
      </c>
      <c r="B41" s="6" t="s">
        <v>10</v>
      </c>
      <c r="C41" s="7" t="s">
        <v>21</v>
      </c>
      <c r="D41" s="6" t="s">
        <v>729</v>
      </c>
      <c r="E41" s="6" t="s">
        <v>106</v>
      </c>
      <c r="F41" s="6" t="s">
        <v>730</v>
      </c>
      <c r="G41" s="6" t="s">
        <v>25</v>
      </c>
    </row>
    <row r="42" spans="1:7" ht="16" customHeight="1" thickBot="1" x14ac:dyDescent="0.25">
      <c r="A42" s="6">
        <v>41</v>
      </c>
      <c r="B42" s="6" t="s">
        <v>10</v>
      </c>
      <c r="C42" s="7" t="s">
        <v>21</v>
      </c>
      <c r="D42" s="6" t="s">
        <v>731</v>
      </c>
      <c r="E42" s="6" t="s">
        <v>132</v>
      </c>
      <c r="F42" s="6" t="s">
        <v>732</v>
      </c>
      <c r="G42" s="6" t="s">
        <v>25</v>
      </c>
    </row>
    <row r="43" spans="1:7" ht="16" customHeight="1" thickBot="1" x14ac:dyDescent="0.25">
      <c r="A43" s="6">
        <v>42</v>
      </c>
      <c r="B43" s="6" t="s">
        <v>10</v>
      </c>
      <c r="C43" s="7" t="s">
        <v>21</v>
      </c>
      <c r="D43" s="6" t="s">
        <v>733</v>
      </c>
      <c r="E43" s="6" t="s">
        <v>134</v>
      </c>
      <c r="F43" s="6" t="s">
        <v>734</v>
      </c>
      <c r="G43" s="6" t="s">
        <v>25</v>
      </c>
    </row>
    <row r="44" spans="1:7" ht="16" customHeight="1" thickBot="1" x14ac:dyDescent="0.25">
      <c r="A44" s="6">
        <v>43</v>
      </c>
      <c r="B44" s="6" t="s">
        <v>10</v>
      </c>
      <c r="C44" s="7" t="s">
        <v>21</v>
      </c>
      <c r="D44" s="6" t="s">
        <v>735</v>
      </c>
      <c r="E44" s="6" t="s">
        <v>136</v>
      </c>
      <c r="F44" s="6" t="s">
        <v>736</v>
      </c>
      <c r="G44" s="6" t="s">
        <v>25</v>
      </c>
    </row>
    <row r="45" spans="1:7" ht="16" customHeight="1" thickBot="1" x14ac:dyDescent="0.25">
      <c r="A45" s="6">
        <v>44</v>
      </c>
      <c r="B45" s="6" t="s">
        <v>10</v>
      </c>
      <c r="C45" s="7" t="s">
        <v>27</v>
      </c>
      <c r="D45" s="6" t="s">
        <v>737</v>
      </c>
      <c r="E45" s="6" t="s">
        <v>738</v>
      </c>
      <c r="F45" s="6" t="s">
        <v>739</v>
      </c>
      <c r="G45" s="6" t="s">
        <v>52</v>
      </c>
    </row>
    <row r="46" spans="1:7" ht="16" customHeight="1" thickBot="1" x14ac:dyDescent="0.25">
      <c r="A46" s="6">
        <v>45</v>
      </c>
      <c r="B46" s="6" t="s">
        <v>10</v>
      </c>
      <c r="C46" s="7" t="s">
        <v>21</v>
      </c>
      <c r="D46" s="6" t="s">
        <v>740</v>
      </c>
      <c r="E46" s="6" t="s">
        <v>141</v>
      </c>
      <c r="F46" s="6" t="s">
        <v>741</v>
      </c>
      <c r="G46" s="6" t="s">
        <v>52</v>
      </c>
    </row>
    <row r="47" spans="1:7" ht="16" customHeight="1" thickBot="1" x14ac:dyDescent="0.25">
      <c r="A47" s="6">
        <v>46</v>
      </c>
      <c r="B47" s="6" t="s">
        <v>10</v>
      </c>
      <c r="C47" s="7" t="s">
        <v>32</v>
      </c>
      <c r="D47" s="6" t="s">
        <v>742</v>
      </c>
      <c r="E47" s="6" t="s">
        <v>657</v>
      </c>
      <c r="F47" s="6" t="s">
        <v>743</v>
      </c>
      <c r="G47" s="6" t="s">
        <v>25</v>
      </c>
    </row>
    <row r="48" spans="1:7" ht="16" customHeight="1" thickBot="1" x14ac:dyDescent="0.25">
      <c r="A48" s="6">
        <v>47</v>
      </c>
      <c r="B48" s="6" t="s">
        <v>20</v>
      </c>
      <c r="C48" s="7" t="s">
        <v>32</v>
      </c>
      <c r="D48" s="6" t="s">
        <v>744</v>
      </c>
      <c r="E48" s="6" t="s">
        <v>652</v>
      </c>
      <c r="F48" s="6" t="s">
        <v>745</v>
      </c>
      <c r="G48" s="6" t="s">
        <v>25</v>
      </c>
    </row>
    <row r="49" spans="1:7" ht="16" customHeight="1" thickBot="1" x14ac:dyDescent="0.2">
      <c r="A49" s="6">
        <v>48</v>
      </c>
      <c r="B49" s="6" t="s">
        <v>20</v>
      </c>
      <c r="C49" s="6" t="s">
        <v>27</v>
      </c>
      <c r="D49" s="6" t="s">
        <v>746</v>
      </c>
      <c r="E49" s="6" t="s">
        <v>747</v>
      </c>
      <c r="F49" s="6" t="s">
        <v>748</v>
      </c>
      <c r="G49" s="6" t="s">
        <v>52</v>
      </c>
    </row>
    <row r="50" spans="1:7" ht="16" customHeight="1" thickBot="1" x14ac:dyDescent="0.2">
      <c r="A50" s="6">
        <v>49</v>
      </c>
      <c r="B50" s="6" t="s">
        <v>20</v>
      </c>
      <c r="C50" s="6" t="s">
        <v>32</v>
      </c>
      <c r="D50" s="6" t="s">
        <v>749</v>
      </c>
      <c r="E50" s="6" t="s">
        <v>652</v>
      </c>
      <c r="F50" s="6" t="s">
        <v>750</v>
      </c>
      <c r="G50" s="6" t="s">
        <v>52</v>
      </c>
    </row>
    <row r="51" spans="1:7" ht="16" customHeight="1" thickBot="1" x14ac:dyDescent="0.2">
      <c r="A51" s="6">
        <v>50</v>
      </c>
      <c r="B51" s="6" t="s">
        <v>20</v>
      </c>
      <c r="C51" s="6" t="s">
        <v>27</v>
      </c>
      <c r="D51" s="6" t="s">
        <v>751</v>
      </c>
      <c r="E51" s="6" t="s">
        <v>752</v>
      </c>
      <c r="F51" s="6" t="s">
        <v>753</v>
      </c>
      <c r="G51" s="6" t="s">
        <v>52</v>
      </c>
    </row>
    <row r="52" spans="1:7" ht="16" customHeight="1" thickBot="1" x14ac:dyDescent="0.2">
      <c r="A52" s="6">
        <v>51</v>
      </c>
      <c r="B52" s="6" t="s">
        <v>20</v>
      </c>
      <c r="C52" s="6" t="s">
        <v>27</v>
      </c>
      <c r="D52" s="6" t="s">
        <v>754</v>
      </c>
      <c r="E52" s="6" t="s">
        <v>755</v>
      </c>
      <c r="F52" s="6" t="s">
        <v>756</v>
      </c>
      <c r="G52" s="6" t="s">
        <v>52</v>
      </c>
    </row>
    <row r="53" spans="1:7" ht="16" customHeight="1" thickBot="1" x14ac:dyDescent="0.2">
      <c r="A53" s="6">
        <v>52</v>
      </c>
      <c r="B53" s="6" t="s">
        <v>20</v>
      </c>
      <c r="C53" s="6" t="s">
        <v>16</v>
      </c>
      <c r="D53" s="6" t="s">
        <v>757</v>
      </c>
      <c r="E53" s="6" t="s">
        <v>159</v>
      </c>
      <c r="F53" s="6" t="s">
        <v>758</v>
      </c>
      <c r="G53" s="6" t="s">
        <v>52</v>
      </c>
    </row>
    <row r="54" spans="1:7" ht="16" customHeight="1" thickBot="1" x14ac:dyDescent="0.2">
      <c r="A54" s="6">
        <v>53</v>
      </c>
      <c r="B54" s="6" t="s">
        <v>10</v>
      </c>
      <c r="C54" s="6" t="s">
        <v>11</v>
      </c>
      <c r="D54" s="6" t="s">
        <v>759</v>
      </c>
      <c r="E54" s="6" t="s">
        <v>760</v>
      </c>
      <c r="F54" s="6" t="s">
        <v>761</v>
      </c>
      <c r="G54" s="6" t="s">
        <v>52</v>
      </c>
    </row>
    <row r="55" spans="1:7" ht="16" customHeight="1" thickBot="1" x14ac:dyDescent="0.2">
      <c r="A55" s="6">
        <v>54</v>
      </c>
      <c r="B55" s="6" t="s">
        <v>10</v>
      </c>
      <c r="C55" s="6" t="s">
        <v>11</v>
      </c>
      <c r="D55" s="6" t="s">
        <v>762</v>
      </c>
      <c r="E55" s="6" t="s">
        <v>763</v>
      </c>
      <c r="F55" s="6" t="s">
        <v>764</v>
      </c>
      <c r="G55" s="6" t="s">
        <v>25</v>
      </c>
    </row>
    <row r="56" spans="1:7" ht="16" customHeight="1" thickBot="1" x14ac:dyDescent="0.2">
      <c r="A56" s="6">
        <v>55</v>
      </c>
      <c r="B56" s="6" t="s">
        <v>26</v>
      </c>
      <c r="C56" s="6" t="s">
        <v>11</v>
      </c>
      <c r="D56" s="6" t="s">
        <v>765</v>
      </c>
      <c r="E56" s="6" t="s">
        <v>766</v>
      </c>
      <c r="F56" s="6" t="s">
        <v>767</v>
      </c>
      <c r="G56" s="6" t="s">
        <v>25</v>
      </c>
    </row>
    <row r="57" spans="1:7" ht="16" customHeight="1" thickBot="1" x14ac:dyDescent="0.2">
      <c r="A57" s="6">
        <v>56</v>
      </c>
      <c r="B57" s="6" t="s">
        <v>26</v>
      </c>
      <c r="C57" s="6" t="s">
        <v>11</v>
      </c>
      <c r="D57" s="6" t="s">
        <v>768</v>
      </c>
      <c r="E57" s="6" t="s">
        <v>769</v>
      </c>
      <c r="F57" s="6" t="s">
        <v>770</v>
      </c>
      <c r="G57" s="6" t="s">
        <v>52</v>
      </c>
    </row>
    <row r="58" spans="1:7" ht="16" customHeight="1" thickBot="1" x14ac:dyDescent="0.2">
      <c r="A58" s="6">
        <v>57</v>
      </c>
      <c r="B58" s="6" t="s">
        <v>26</v>
      </c>
      <c r="C58" s="6" t="s">
        <v>32</v>
      </c>
      <c r="D58" s="6" t="s">
        <v>771</v>
      </c>
      <c r="E58" s="6" t="s">
        <v>174</v>
      </c>
      <c r="F58" s="6" t="s">
        <v>772</v>
      </c>
      <c r="G58" s="6" t="s">
        <v>52</v>
      </c>
    </row>
    <row r="59" spans="1:7" ht="16" customHeight="1" thickBot="1" x14ac:dyDescent="0.2">
      <c r="A59" s="6">
        <v>58</v>
      </c>
      <c r="B59" s="6" t="s">
        <v>10</v>
      </c>
      <c r="C59" s="6" t="s">
        <v>16</v>
      </c>
      <c r="D59" s="6" t="s">
        <v>773</v>
      </c>
      <c r="E59" s="6" t="s">
        <v>106</v>
      </c>
      <c r="F59" s="6" t="s">
        <v>774</v>
      </c>
      <c r="G59" s="6" t="s">
        <v>25</v>
      </c>
    </row>
    <row r="60" spans="1:7" ht="16" customHeight="1" thickBot="1" x14ac:dyDescent="0.2">
      <c r="A60" s="6">
        <v>59</v>
      </c>
      <c r="B60" s="6" t="s">
        <v>10</v>
      </c>
      <c r="C60" s="6" t="s">
        <v>16</v>
      </c>
      <c r="D60" s="6" t="s">
        <v>775</v>
      </c>
      <c r="E60" s="6" t="s">
        <v>98</v>
      </c>
      <c r="F60" s="6" t="s">
        <v>776</v>
      </c>
      <c r="G60" s="6" t="s">
        <v>52</v>
      </c>
    </row>
    <row r="61" spans="1:7" ht="16" customHeight="1" thickBot="1" x14ac:dyDescent="0.2">
      <c r="A61" s="6">
        <v>60</v>
      </c>
      <c r="B61" s="6" t="s">
        <v>10</v>
      </c>
      <c r="C61" s="6" t="s">
        <v>16</v>
      </c>
      <c r="D61" s="6" t="s">
        <v>777</v>
      </c>
      <c r="E61" s="6" t="s">
        <v>106</v>
      </c>
      <c r="F61" s="6" t="s">
        <v>778</v>
      </c>
      <c r="G61" s="6" t="s">
        <v>25</v>
      </c>
    </row>
    <row r="62" spans="1:7" ht="16" customHeight="1" thickBot="1" x14ac:dyDescent="0.2">
      <c r="A62" s="6">
        <v>61</v>
      </c>
      <c r="B62" s="6" t="s">
        <v>26</v>
      </c>
      <c r="C62" s="6" t="s">
        <v>16</v>
      </c>
      <c r="D62" s="6" t="s">
        <v>779</v>
      </c>
      <c r="E62" s="6" t="s">
        <v>106</v>
      </c>
      <c r="F62" s="6" t="s">
        <v>780</v>
      </c>
      <c r="G62" s="6" t="s">
        <v>25</v>
      </c>
    </row>
    <row r="63" spans="1:7" ht="16" customHeight="1" thickBot="1" x14ac:dyDescent="0.2">
      <c r="A63" s="6">
        <v>62</v>
      </c>
      <c r="B63" s="6" t="s">
        <v>26</v>
      </c>
      <c r="C63" s="6" t="s">
        <v>16</v>
      </c>
      <c r="D63" s="6" t="s">
        <v>781</v>
      </c>
      <c r="E63" s="6" t="s">
        <v>159</v>
      </c>
      <c r="F63" s="6" t="s">
        <v>782</v>
      </c>
      <c r="G63" s="6" t="s">
        <v>15</v>
      </c>
    </row>
    <row r="64" spans="1:7" ht="16" customHeight="1" thickBot="1" x14ac:dyDescent="0.2">
      <c r="A64" s="6">
        <v>63</v>
      </c>
      <c r="B64" s="6" t="s">
        <v>26</v>
      </c>
      <c r="C64" s="6" t="s">
        <v>16</v>
      </c>
      <c r="D64" s="6" t="s">
        <v>783</v>
      </c>
      <c r="E64" s="6" t="s">
        <v>159</v>
      </c>
      <c r="F64" s="6" t="s">
        <v>784</v>
      </c>
      <c r="G64" s="6" t="s">
        <v>52</v>
      </c>
    </row>
    <row r="65" spans="1:7" ht="16" customHeight="1" thickBot="1" x14ac:dyDescent="0.2">
      <c r="A65" s="6">
        <v>64</v>
      </c>
      <c r="B65" s="6" t="s">
        <v>26</v>
      </c>
      <c r="C65" s="6" t="s">
        <v>16</v>
      </c>
      <c r="D65" s="6" t="s">
        <v>785</v>
      </c>
      <c r="E65" s="6" t="s">
        <v>127</v>
      </c>
      <c r="F65" s="6" t="s">
        <v>786</v>
      </c>
      <c r="G65" s="6" t="s">
        <v>25</v>
      </c>
    </row>
    <row r="66" spans="1:7" ht="16" customHeight="1" thickBot="1" x14ac:dyDescent="0.2">
      <c r="A66" s="6">
        <v>65</v>
      </c>
      <c r="B66" s="6" t="s">
        <v>26</v>
      </c>
      <c r="C66" s="6" t="s">
        <v>16</v>
      </c>
      <c r="D66" s="6" t="s">
        <v>787</v>
      </c>
      <c r="E66" s="6" t="s">
        <v>106</v>
      </c>
      <c r="F66" s="6" t="s">
        <v>788</v>
      </c>
      <c r="G66" s="6" t="s">
        <v>25</v>
      </c>
    </row>
    <row r="67" spans="1:7" ht="16" customHeight="1" thickBot="1" x14ac:dyDescent="0.2">
      <c r="A67" s="6">
        <v>66</v>
      </c>
      <c r="B67" s="6" t="s">
        <v>10</v>
      </c>
      <c r="C67" s="6" t="s">
        <v>16</v>
      </c>
      <c r="D67" s="6" t="s">
        <v>789</v>
      </c>
      <c r="E67" s="6" t="s">
        <v>106</v>
      </c>
      <c r="F67" s="6" t="s">
        <v>790</v>
      </c>
      <c r="G67" s="6" t="s">
        <v>25</v>
      </c>
    </row>
    <row r="68" spans="1:7" ht="16" customHeight="1" thickBot="1" x14ac:dyDescent="0.2">
      <c r="A68" s="6">
        <v>67</v>
      </c>
      <c r="B68" s="6" t="s">
        <v>26</v>
      </c>
      <c r="C68" s="6" t="s">
        <v>16</v>
      </c>
      <c r="D68" s="6" t="s">
        <v>791</v>
      </c>
      <c r="E68" s="6" t="s">
        <v>106</v>
      </c>
      <c r="F68" s="6" t="s">
        <v>792</v>
      </c>
      <c r="G68" s="6" t="s">
        <v>25</v>
      </c>
    </row>
    <row r="69" spans="1:7" ht="16" customHeight="1" thickBot="1" x14ac:dyDescent="0.2">
      <c r="A69" s="6">
        <v>68</v>
      </c>
      <c r="B69" s="6" t="s">
        <v>26</v>
      </c>
      <c r="C69" s="6" t="s">
        <v>16</v>
      </c>
      <c r="D69" s="6" t="s">
        <v>793</v>
      </c>
      <c r="E69" s="6" t="s">
        <v>98</v>
      </c>
      <c r="F69" s="6" t="s">
        <v>794</v>
      </c>
      <c r="G69" s="6" t="s">
        <v>25</v>
      </c>
    </row>
    <row r="70" spans="1:7" ht="16" customHeight="1" thickBot="1" x14ac:dyDescent="0.2">
      <c r="A70" s="6">
        <v>69</v>
      </c>
      <c r="B70" s="6" t="s">
        <v>26</v>
      </c>
      <c r="C70" s="6" t="s">
        <v>16</v>
      </c>
      <c r="D70" s="6" t="s">
        <v>795</v>
      </c>
      <c r="E70" s="6" t="s">
        <v>159</v>
      </c>
      <c r="F70" s="6" t="s">
        <v>796</v>
      </c>
      <c r="G70" s="6" t="s">
        <v>25</v>
      </c>
    </row>
    <row r="71" spans="1:7" ht="16" customHeight="1" thickBot="1" x14ac:dyDescent="0.2">
      <c r="A71" s="6">
        <v>70</v>
      </c>
      <c r="B71" s="6" t="s">
        <v>26</v>
      </c>
      <c r="C71" s="6" t="s">
        <v>16</v>
      </c>
      <c r="D71" s="6" t="s">
        <v>797</v>
      </c>
      <c r="E71" s="6" t="s">
        <v>127</v>
      </c>
      <c r="F71" s="6" t="s">
        <v>798</v>
      </c>
      <c r="G71" s="6" t="s">
        <v>25</v>
      </c>
    </row>
    <row r="72" spans="1:7" ht="16" customHeight="1" thickBot="1" x14ac:dyDescent="0.2">
      <c r="A72" s="6">
        <v>71</v>
      </c>
      <c r="B72" s="6" t="s">
        <v>26</v>
      </c>
      <c r="C72" s="6" t="s">
        <v>16</v>
      </c>
      <c r="D72" s="6" t="s">
        <v>799</v>
      </c>
      <c r="E72" s="6" t="s">
        <v>98</v>
      </c>
      <c r="F72" s="6" t="s">
        <v>800</v>
      </c>
      <c r="G72" s="6" t="s">
        <v>25</v>
      </c>
    </row>
    <row r="73" spans="1:7" ht="16" customHeight="1" thickBot="1" x14ac:dyDescent="0.2">
      <c r="A73" s="6">
        <v>72</v>
      </c>
      <c r="B73" s="6" t="s">
        <v>26</v>
      </c>
      <c r="C73" s="6" t="s">
        <v>27</v>
      </c>
      <c r="D73" s="6" t="s">
        <v>801</v>
      </c>
      <c r="E73" s="6" t="s">
        <v>98</v>
      </c>
      <c r="F73" s="6" t="s">
        <v>802</v>
      </c>
      <c r="G73" s="6" t="s">
        <v>52</v>
      </c>
    </row>
    <row r="74" spans="1:7" ht="16" customHeight="1" thickBot="1" x14ac:dyDescent="0.2">
      <c r="A74" s="6">
        <v>73</v>
      </c>
      <c r="B74" s="6" t="s">
        <v>10</v>
      </c>
      <c r="C74" s="6" t="s">
        <v>16</v>
      </c>
      <c r="D74" s="6" t="s">
        <v>803</v>
      </c>
      <c r="E74" s="6" t="s">
        <v>159</v>
      </c>
      <c r="F74" s="6" t="s">
        <v>804</v>
      </c>
      <c r="G74" s="6" t="s">
        <v>25</v>
      </c>
    </row>
    <row r="75" spans="1:7" ht="16" customHeight="1" thickBot="1" x14ac:dyDescent="0.2">
      <c r="A75" s="6">
        <v>74</v>
      </c>
      <c r="B75" s="6" t="s">
        <v>26</v>
      </c>
      <c r="C75" s="6" t="s">
        <v>16</v>
      </c>
      <c r="D75" s="6" t="s">
        <v>805</v>
      </c>
      <c r="E75" s="6" t="s">
        <v>127</v>
      </c>
      <c r="F75" s="6" t="s">
        <v>806</v>
      </c>
      <c r="G75" s="6" t="s">
        <v>25</v>
      </c>
    </row>
    <row r="76" spans="1:7" ht="16" customHeight="1" thickBot="1" x14ac:dyDescent="0.2">
      <c r="A76" s="6">
        <v>75</v>
      </c>
      <c r="B76" s="6" t="s">
        <v>26</v>
      </c>
      <c r="C76" s="6" t="s">
        <v>21</v>
      </c>
      <c r="D76" s="6" t="s">
        <v>807</v>
      </c>
      <c r="E76" s="6" t="s">
        <v>127</v>
      </c>
      <c r="F76" s="6" t="s">
        <v>808</v>
      </c>
      <c r="G76" s="6" t="s">
        <v>25</v>
      </c>
    </row>
    <row r="77" spans="1:7" ht="16" customHeight="1" thickBot="1" x14ac:dyDescent="0.2">
      <c r="A77" s="6">
        <v>76</v>
      </c>
      <c r="B77" s="6" t="s">
        <v>26</v>
      </c>
      <c r="C77" s="6" t="s">
        <v>16</v>
      </c>
      <c r="D77" s="6" t="s">
        <v>809</v>
      </c>
      <c r="E77" s="6" t="s">
        <v>127</v>
      </c>
      <c r="F77" s="6" t="s">
        <v>810</v>
      </c>
      <c r="G77" s="6" t="s">
        <v>25</v>
      </c>
    </row>
    <row r="78" spans="1:7" ht="16" customHeight="1" thickBot="1" x14ac:dyDescent="0.2">
      <c r="A78" s="6">
        <v>77</v>
      </c>
      <c r="B78" s="6" t="s">
        <v>26</v>
      </c>
      <c r="C78" s="6" t="s">
        <v>16</v>
      </c>
      <c r="D78" s="6" t="s">
        <v>811</v>
      </c>
      <c r="E78" s="6" t="s">
        <v>159</v>
      </c>
      <c r="F78" s="6" t="s">
        <v>812</v>
      </c>
      <c r="G78" s="6" t="s">
        <v>25</v>
      </c>
    </row>
    <row r="79" spans="1:7" ht="16" customHeight="1" thickBot="1" x14ac:dyDescent="0.2">
      <c r="A79" s="6">
        <v>78</v>
      </c>
      <c r="B79" s="6" t="s">
        <v>26</v>
      </c>
      <c r="C79" s="6" t="s">
        <v>16</v>
      </c>
      <c r="D79" s="6" t="s">
        <v>813</v>
      </c>
      <c r="E79" s="6" t="s">
        <v>127</v>
      </c>
      <c r="F79" s="6" t="s">
        <v>814</v>
      </c>
      <c r="G79" s="6" t="s">
        <v>52</v>
      </c>
    </row>
    <row r="80" spans="1:7" ht="16" customHeight="1" thickBot="1" x14ac:dyDescent="0.2">
      <c r="A80" s="6">
        <v>79</v>
      </c>
      <c r="B80" s="6" t="s">
        <v>10</v>
      </c>
      <c r="C80" s="6" t="s">
        <v>16</v>
      </c>
      <c r="D80" s="6" t="s">
        <v>815</v>
      </c>
      <c r="E80" s="6" t="s">
        <v>106</v>
      </c>
      <c r="F80" s="6" t="s">
        <v>816</v>
      </c>
      <c r="G80" s="6" t="s">
        <v>25</v>
      </c>
    </row>
    <row r="81" spans="1:7" ht="16" customHeight="1" thickBot="1" x14ac:dyDescent="0.2">
      <c r="A81" s="6">
        <v>80</v>
      </c>
      <c r="B81" s="6" t="s">
        <v>10</v>
      </c>
      <c r="C81" s="6" t="s">
        <v>16</v>
      </c>
      <c r="D81" s="6" t="s">
        <v>817</v>
      </c>
      <c r="E81" s="6" t="s">
        <v>106</v>
      </c>
      <c r="F81" s="6" t="s">
        <v>818</v>
      </c>
      <c r="G81" s="6" t="s">
        <v>25</v>
      </c>
    </row>
    <row r="82" spans="1:7" ht="16" customHeight="1" thickBot="1" x14ac:dyDescent="0.2">
      <c r="A82" s="6">
        <v>81</v>
      </c>
      <c r="B82" s="6" t="s">
        <v>10</v>
      </c>
      <c r="C82" s="6" t="s">
        <v>27</v>
      </c>
      <c r="D82" s="6" t="s">
        <v>819</v>
      </c>
      <c r="E82" s="8">
        <v>80</v>
      </c>
      <c r="F82" s="6" t="s">
        <v>820</v>
      </c>
      <c r="G82" s="6" t="s">
        <v>25</v>
      </c>
    </row>
    <row r="83" spans="1:7" ht="16" customHeight="1" thickBot="1" x14ac:dyDescent="0.2">
      <c r="A83" s="6">
        <v>82</v>
      </c>
      <c r="B83" s="6" t="s">
        <v>10</v>
      </c>
      <c r="C83" s="6" t="s">
        <v>27</v>
      </c>
      <c r="D83" s="6" t="s">
        <v>821</v>
      </c>
      <c r="E83" s="8">
        <v>13</v>
      </c>
      <c r="F83" s="6" t="s">
        <v>822</v>
      </c>
      <c r="G83" s="6" t="s">
        <v>52</v>
      </c>
    </row>
    <row r="84" spans="1:7" ht="16" customHeight="1" thickBot="1" x14ac:dyDescent="0.2">
      <c r="A84" s="6">
        <v>83</v>
      </c>
      <c r="B84" s="6" t="s">
        <v>10</v>
      </c>
      <c r="C84" s="6" t="s">
        <v>16</v>
      </c>
      <c r="D84" s="6" t="s">
        <v>823</v>
      </c>
      <c r="E84" s="6" t="s">
        <v>127</v>
      </c>
      <c r="F84" s="6" t="s">
        <v>824</v>
      </c>
      <c r="G84" s="6" t="s">
        <v>25</v>
      </c>
    </row>
    <row r="85" spans="1:7" ht="16" customHeight="1" thickBot="1" x14ac:dyDescent="0.2">
      <c r="A85" s="6">
        <v>84</v>
      </c>
      <c r="B85" s="6" t="s">
        <v>10</v>
      </c>
      <c r="C85" s="6" t="s">
        <v>16</v>
      </c>
      <c r="D85" s="6" t="s">
        <v>825</v>
      </c>
      <c r="E85" s="6" t="s">
        <v>98</v>
      </c>
      <c r="F85" s="6" t="s">
        <v>826</v>
      </c>
      <c r="G85" s="6" t="s">
        <v>25</v>
      </c>
    </row>
    <row r="86" spans="1:7" ht="16" customHeight="1" thickBot="1" x14ac:dyDescent="0.2">
      <c r="A86" s="6">
        <v>85</v>
      </c>
      <c r="B86" s="6" t="s">
        <v>10</v>
      </c>
      <c r="C86" s="6" t="s">
        <v>16</v>
      </c>
      <c r="D86" s="6" t="s">
        <v>827</v>
      </c>
      <c r="E86" s="6" t="s">
        <v>98</v>
      </c>
      <c r="F86" s="6" t="s">
        <v>828</v>
      </c>
      <c r="G86" s="6" t="s">
        <v>25</v>
      </c>
    </row>
    <row r="87" spans="1:7" ht="16" customHeight="1" thickBot="1" x14ac:dyDescent="0.2">
      <c r="A87" s="6">
        <v>86</v>
      </c>
      <c r="B87" s="6" t="s">
        <v>10</v>
      </c>
      <c r="C87" s="6" t="s">
        <v>16</v>
      </c>
      <c r="D87" s="6" t="s">
        <v>829</v>
      </c>
      <c r="E87" s="6" t="s">
        <v>159</v>
      </c>
      <c r="F87" s="6" t="s">
        <v>830</v>
      </c>
      <c r="G87" s="6" t="s">
        <v>25</v>
      </c>
    </row>
    <row r="88" spans="1:7" ht="16" customHeight="1" thickBot="1" x14ac:dyDescent="0.2">
      <c r="A88" s="6">
        <v>87</v>
      </c>
      <c r="B88" s="6" t="s">
        <v>26</v>
      </c>
      <c r="C88" s="6" t="s">
        <v>16</v>
      </c>
      <c r="D88" s="6" t="s">
        <v>831</v>
      </c>
      <c r="E88" s="6" t="s">
        <v>127</v>
      </c>
      <c r="F88" s="6" t="s">
        <v>832</v>
      </c>
      <c r="G88" s="6" t="s">
        <v>25</v>
      </c>
    </row>
    <row r="89" spans="1:7" ht="16" customHeight="1" thickBot="1" x14ac:dyDescent="0.2">
      <c r="A89" s="6">
        <v>88</v>
      </c>
      <c r="B89" s="6" t="s">
        <v>10</v>
      </c>
      <c r="C89" s="6" t="s">
        <v>16</v>
      </c>
      <c r="D89" s="6" t="s">
        <v>833</v>
      </c>
      <c r="E89" s="6" t="s">
        <v>98</v>
      </c>
      <c r="F89" s="6" t="s">
        <v>834</v>
      </c>
      <c r="G89" s="6" t="s">
        <v>25</v>
      </c>
    </row>
    <row r="90" spans="1:7" ht="16" customHeight="1" thickBot="1" x14ac:dyDescent="0.2">
      <c r="A90" s="6">
        <v>89</v>
      </c>
      <c r="B90" s="6" t="s">
        <v>26</v>
      </c>
      <c r="C90" s="6" t="s">
        <v>27</v>
      </c>
      <c r="D90" s="6" t="s">
        <v>835</v>
      </c>
      <c r="E90" s="8">
        <v>511</v>
      </c>
      <c r="F90" s="6" t="s">
        <v>836</v>
      </c>
      <c r="G90" s="6" t="s">
        <v>25</v>
      </c>
    </row>
    <row r="91" spans="1:7" ht="16" customHeight="1" thickBot="1" x14ac:dyDescent="0.2">
      <c r="A91" s="6">
        <v>90</v>
      </c>
      <c r="B91" s="6" t="s">
        <v>26</v>
      </c>
      <c r="C91" s="6" t="s">
        <v>16</v>
      </c>
      <c r="D91" s="6" t="s">
        <v>837</v>
      </c>
      <c r="E91" s="6" t="s">
        <v>98</v>
      </c>
      <c r="F91" s="6" t="s">
        <v>838</v>
      </c>
      <c r="G91" s="6" t="s">
        <v>25</v>
      </c>
    </row>
    <row r="92" spans="1:7" ht="16" customHeight="1" thickBot="1" x14ac:dyDescent="0.2">
      <c r="A92" s="6">
        <v>91</v>
      </c>
      <c r="B92" s="6" t="s">
        <v>10</v>
      </c>
      <c r="C92" s="6" t="s">
        <v>21</v>
      </c>
      <c r="D92" s="6" t="s">
        <v>839</v>
      </c>
      <c r="E92" s="6" t="s">
        <v>241</v>
      </c>
      <c r="F92" s="6" t="s">
        <v>840</v>
      </c>
      <c r="G92" s="6" t="s">
        <v>25</v>
      </c>
    </row>
    <row r="93" spans="1:7" ht="16" customHeight="1" thickBot="1" x14ac:dyDescent="0.2">
      <c r="A93" s="6">
        <v>92</v>
      </c>
      <c r="B93" s="6" t="s">
        <v>26</v>
      </c>
      <c r="C93" s="6" t="s">
        <v>11</v>
      </c>
      <c r="D93" s="6" t="s">
        <v>841</v>
      </c>
      <c r="E93" s="6" t="s">
        <v>842</v>
      </c>
      <c r="F93" s="6" t="s">
        <v>843</v>
      </c>
      <c r="G93" s="6" t="s">
        <v>25</v>
      </c>
    </row>
    <row r="94" spans="1:7" ht="16" customHeight="1" thickBot="1" x14ac:dyDescent="0.2">
      <c r="A94" s="6">
        <v>93</v>
      </c>
      <c r="B94" s="6" t="s">
        <v>10</v>
      </c>
      <c r="C94" s="6" t="s">
        <v>11</v>
      </c>
      <c r="D94" s="6" t="s">
        <v>844</v>
      </c>
      <c r="E94" s="6" t="s">
        <v>845</v>
      </c>
      <c r="F94" s="6" t="s">
        <v>846</v>
      </c>
      <c r="G94" s="6" t="s">
        <v>52</v>
      </c>
    </row>
    <row r="95" spans="1:7" ht="16" customHeight="1" thickBot="1" x14ac:dyDescent="0.2">
      <c r="A95" s="6">
        <v>94</v>
      </c>
      <c r="B95" s="6" t="s">
        <v>26</v>
      </c>
      <c r="C95" s="6" t="s">
        <v>11</v>
      </c>
      <c r="D95" s="6" t="s">
        <v>847</v>
      </c>
      <c r="E95" s="6" t="s">
        <v>848</v>
      </c>
      <c r="F95" s="6" t="s">
        <v>849</v>
      </c>
      <c r="G95" s="6" t="s">
        <v>25</v>
      </c>
    </row>
    <row r="96" spans="1:7" ht="16" customHeight="1" thickBot="1" x14ac:dyDescent="0.2">
      <c r="A96" s="6">
        <v>95</v>
      </c>
      <c r="B96" s="6" t="s">
        <v>31</v>
      </c>
      <c r="C96" s="6" t="s">
        <v>11</v>
      </c>
      <c r="D96" s="6" t="s">
        <v>850</v>
      </c>
      <c r="E96" s="6" t="s">
        <v>851</v>
      </c>
      <c r="F96" s="6" t="s">
        <v>852</v>
      </c>
      <c r="G96" s="6" t="s">
        <v>52</v>
      </c>
    </row>
    <row r="97" spans="1:7" ht="16" customHeight="1" thickBot="1" x14ac:dyDescent="0.2">
      <c r="A97" s="6">
        <v>96</v>
      </c>
      <c r="B97" s="6" t="s">
        <v>31</v>
      </c>
      <c r="C97" s="6" t="s">
        <v>11</v>
      </c>
      <c r="D97" s="6" t="s">
        <v>853</v>
      </c>
      <c r="E97" s="6" t="s">
        <v>854</v>
      </c>
      <c r="F97" s="6" t="s">
        <v>855</v>
      </c>
      <c r="G97" s="6" t="s">
        <v>52</v>
      </c>
    </row>
    <row r="98" spans="1:7" ht="16" customHeight="1" thickBot="1" x14ac:dyDescent="0.2">
      <c r="A98" s="6">
        <v>97</v>
      </c>
      <c r="B98" s="6" t="s">
        <v>31</v>
      </c>
      <c r="C98" s="6" t="s">
        <v>27</v>
      </c>
      <c r="D98" s="6" t="s">
        <v>856</v>
      </c>
      <c r="E98" s="6" t="s">
        <v>857</v>
      </c>
      <c r="F98" s="6" t="s">
        <v>858</v>
      </c>
      <c r="G98" s="6" t="s">
        <v>52</v>
      </c>
    </row>
    <row r="99" spans="1:7" ht="16" customHeight="1" thickBot="1" x14ac:dyDescent="0.2">
      <c r="A99" s="6">
        <v>98</v>
      </c>
      <c r="B99" s="6" t="s">
        <v>31</v>
      </c>
      <c r="C99" s="6" t="s">
        <v>27</v>
      </c>
      <c r="D99" s="6" t="s">
        <v>859</v>
      </c>
      <c r="E99" s="6" t="s">
        <v>860</v>
      </c>
      <c r="F99" s="6" t="s">
        <v>861</v>
      </c>
      <c r="G99" s="6" t="s">
        <v>52</v>
      </c>
    </row>
    <row r="100" spans="1:7" ht="16" customHeight="1" thickBot="1" x14ac:dyDescent="0.2">
      <c r="A100" s="6">
        <v>99</v>
      </c>
      <c r="B100" s="6" t="s">
        <v>31</v>
      </c>
      <c r="C100" s="6" t="s">
        <v>11</v>
      </c>
      <c r="D100" s="6" t="s">
        <v>862</v>
      </c>
      <c r="E100" s="6" t="s">
        <v>265</v>
      </c>
      <c r="F100" s="6" t="s">
        <v>863</v>
      </c>
      <c r="G100" s="6" t="s">
        <v>52</v>
      </c>
    </row>
    <row r="101" spans="1:7" ht="16" customHeight="1" thickBot="1" x14ac:dyDescent="0.2">
      <c r="A101" s="6">
        <v>100</v>
      </c>
      <c r="B101" s="6" t="s">
        <v>31</v>
      </c>
      <c r="C101" s="6" t="s">
        <v>11</v>
      </c>
      <c r="D101" s="6" t="s">
        <v>864</v>
      </c>
      <c r="E101" s="6" t="s">
        <v>865</v>
      </c>
      <c r="F101" s="6" t="s">
        <v>866</v>
      </c>
      <c r="G101" s="6" t="s">
        <v>52</v>
      </c>
    </row>
    <row r="102" spans="1:7" ht="16" customHeight="1" thickBot="1" x14ac:dyDescent="0.2">
      <c r="A102" s="6">
        <v>101</v>
      </c>
      <c r="B102" s="6" t="s">
        <v>31</v>
      </c>
      <c r="C102" s="6" t="s">
        <v>11</v>
      </c>
      <c r="D102" s="6" t="s">
        <v>867</v>
      </c>
      <c r="E102" s="6" t="s">
        <v>868</v>
      </c>
      <c r="F102" s="6" t="s">
        <v>869</v>
      </c>
      <c r="G102" s="6" t="s">
        <v>25</v>
      </c>
    </row>
    <row r="103" spans="1:7" ht="16" customHeight="1" thickBot="1" x14ac:dyDescent="0.2">
      <c r="A103" s="6">
        <v>102</v>
      </c>
      <c r="B103" s="6" t="s">
        <v>31</v>
      </c>
      <c r="C103" s="6" t="s">
        <v>11</v>
      </c>
      <c r="D103" s="6" t="s">
        <v>870</v>
      </c>
      <c r="E103" s="6" t="s">
        <v>871</v>
      </c>
      <c r="F103" s="6" t="s">
        <v>872</v>
      </c>
      <c r="G103" s="6" t="s">
        <v>25</v>
      </c>
    </row>
    <row r="104" spans="1:7" ht="16" customHeight="1" thickBot="1" x14ac:dyDescent="0.2">
      <c r="A104" s="6">
        <v>103</v>
      </c>
      <c r="B104" s="6" t="s">
        <v>31</v>
      </c>
      <c r="C104" s="6" t="s">
        <v>11</v>
      </c>
      <c r="D104" s="6" t="s">
        <v>873</v>
      </c>
      <c r="E104" s="6" t="s">
        <v>874</v>
      </c>
      <c r="F104" s="6" t="s">
        <v>875</v>
      </c>
      <c r="G104" s="6" t="s">
        <v>25</v>
      </c>
    </row>
    <row r="105" spans="1:7" ht="16" customHeight="1" thickBot="1" x14ac:dyDescent="0.2">
      <c r="A105" s="6">
        <v>104</v>
      </c>
      <c r="B105" s="6" t="s">
        <v>31</v>
      </c>
      <c r="C105" s="6" t="s">
        <v>11</v>
      </c>
      <c r="D105" s="6" t="s">
        <v>876</v>
      </c>
      <c r="E105" s="6" t="s">
        <v>877</v>
      </c>
      <c r="F105" s="6" t="s">
        <v>878</v>
      </c>
      <c r="G105" s="6" t="s">
        <v>25</v>
      </c>
    </row>
    <row r="106" spans="1:7" ht="16" customHeight="1" thickBot="1" x14ac:dyDescent="0.2">
      <c r="A106" s="6">
        <v>105</v>
      </c>
      <c r="B106" s="6" t="s">
        <v>31</v>
      </c>
      <c r="C106" s="6" t="s">
        <v>11</v>
      </c>
      <c r="D106" s="6" t="s">
        <v>879</v>
      </c>
      <c r="E106" s="6" t="s">
        <v>880</v>
      </c>
      <c r="F106" s="6" t="s">
        <v>881</v>
      </c>
      <c r="G106" s="6" t="s">
        <v>15</v>
      </c>
    </row>
    <row r="107" spans="1:7" ht="16" customHeight="1" thickBot="1" x14ac:dyDescent="0.2">
      <c r="A107" s="6">
        <v>106</v>
      </c>
      <c r="B107" s="6" t="s">
        <v>31</v>
      </c>
      <c r="C107" s="6" t="s">
        <v>32</v>
      </c>
      <c r="D107" s="6" t="s">
        <v>882</v>
      </c>
      <c r="E107" s="6" t="s">
        <v>286</v>
      </c>
      <c r="F107" s="6" t="s">
        <v>883</v>
      </c>
      <c r="G107" s="6" t="s">
        <v>52</v>
      </c>
    </row>
    <row r="108" spans="1:7" ht="16" customHeight="1" thickBot="1" x14ac:dyDescent="0.2">
      <c r="A108" s="6">
        <v>107</v>
      </c>
      <c r="B108" s="6" t="s">
        <v>31</v>
      </c>
      <c r="C108" s="6" t="s">
        <v>32</v>
      </c>
      <c r="D108" s="6" t="s">
        <v>884</v>
      </c>
      <c r="E108" s="6" t="s">
        <v>174</v>
      </c>
      <c r="F108" s="6" t="s">
        <v>885</v>
      </c>
      <c r="G108" s="6" t="s">
        <v>52</v>
      </c>
    </row>
    <row r="109" spans="1:7" ht="16" customHeight="1" thickBot="1" x14ac:dyDescent="0.2">
      <c r="A109" s="6">
        <v>108</v>
      </c>
      <c r="B109" s="6" t="s">
        <v>31</v>
      </c>
      <c r="C109" s="6" t="s">
        <v>32</v>
      </c>
      <c r="D109" s="6" t="s">
        <v>886</v>
      </c>
      <c r="E109" s="6" t="s">
        <v>174</v>
      </c>
      <c r="F109" s="6" t="s">
        <v>887</v>
      </c>
      <c r="G109" s="6" t="s">
        <v>52</v>
      </c>
    </row>
    <row r="110" spans="1:7" ht="16" customHeight="1" thickBot="1" x14ac:dyDescent="0.2">
      <c r="A110" s="6">
        <v>109</v>
      </c>
      <c r="B110" s="6" t="s">
        <v>31</v>
      </c>
      <c r="C110" s="6" t="s">
        <v>32</v>
      </c>
      <c r="D110" s="6" t="s">
        <v>888</v>
      </c>
      <c r="E110" s="6" t="s">
        <v>286</v>
      </c>
      <c r="F110" s="6" t="s">
        <v>889</v>
      </c>
      <c r="G110" s="6" t="s">
        <v>52</v>
      </c>
    </row>
    <row r="111" spans="1:7" ht="16" customHeight="1" thickBot="1" x14ac:dyDescent="0.2">
      <c r="A111" s="6">
        <v>110</v>
      </c>
      <c r="B111" s="6" t="s">
        <v>31</v>
      </c>
      <c r="C111" s="6" t="s">
        <v>32</v>
      </c>
      <c r="D111" s="6" t="s">
        <v>890</v>
      </c>
      <c r="E111" s="6" t="s">
        <v>286</v>
      </c>
      <c r="F111" s="6" t="s">
        <v>891</v>
      </c>
      <c r="G111" s="6" t="s">
        <v>25</v>
      </c>
    </row>
    <row r="112" spans="1:7" ht="16" customHeight="1" thickBot="1" x14ac:dyDescent="0.2">
      <c r="A112" s="6">
        <v>111</v>
      </c>
      <c r="B112" s="6" t="s">
        <v>31</v>
      </c>
      <c r="C112" s="6" t="s">
        <v>32</v>
      </c>
      <c r="D112" s="6" t="s">
        <v>892</v>
      </c>
      <c r="E112" s="6" t="s">
        <v>174</v>
      </c>
      <c r="F112" s="6" t="s">
        <v>893</v>
      </c>
      <c r="G112" s="6" t="s">
        <v>25</v>
      </c>
    </row>
    <row r="113" spans="1:7" ht="16" customHeight="1" thickBot="1" x14ac:dyDescent="0.2">
      <c r="A113" s="6">
        <v>112</v>
      </c>
      <c r="B113" s="6" t="s">
        <v>31</v>
      </c>
      <c r="C113" s="6" t="s">
        <v>32</v>
      </c>
      <c r="D113" s="6" t="s">
        <v>894</v>
      </c>
      <c r="E113" s="6" t="s">
        <v>286</v>
      </c>
      <c r="F113" s="6" t="s">
        <v>895</v>
      </c>
      <c r="G113" s="6" t="s">
        <v>52</v>
      </c>
    </row>
    <row r="114" spans="1:7" ht="16" customHeight="1" thickBot="1" x14ac:dyDescent="0.2">
      <c r="A114" s="6">
        <v>113</v>
      </c>
      <c r="B114" s="6" t="s">
        <v>31</v>
      </c>
      <c r="C114" s="6" t="s">
        <v>32</v>
      </c>
      <c r="D114" s="6" t="s">
        <v>896</v>
      </c>
      <c r="E114" s="6" t="s">
        <v>286</v>
      </c>
      <c r="F114" s="6" t="s">
        <v>897</v>
      </c>
      <c r="G114" s="6" t="s">
        <v>25</v>
      </c>
    </row>
    <row r="115" spans="1:7" ht="16" customHeight="1" thickBot="1" x14ac:dyDescent="0.2">
      <c r="A115" s="6">
        <v>114</v>
      </c>
      <c r="B115" s="6" t="s">
        <v>31</v>
      </c>
      <c r="C115" s="6" t="s">
        <v>11</v>
      </c>
      <c r="D115" s="6" t="s">
        <v>898</v>
      </c>
      <c r="E115" s="6" t="s">
        <v>899</v>
      </c>
      <c r="F115" s="6" t="s">
        <v>900</v>
      </c>
      <c r="G115" s="6" t="s">
        <v>52</v>
      </c>
    </row>
    <row r="116" spans="1:7" ht="16" customHeight="1" thickBot="1" x14ac:dyDescent="0.2">
      <c r="A116" s="6">
        <v>115</v>
      </c>
      <c r="B116" s="6" t="s">
        <v>31</v>
      </c>
      <c r="C116" s="6" t="s">
        <v>11</v>
      </c>
      <c r="D116" s="6" t="s">
        <v>901</v>
      </c>
      <c r="E116" s="6" t="s">
        <v>306</v>
      </c>
      <c r="F116" s="6" t="s">
        <v>902</v>
      </c>
      <c r="G116" s="6" t="s">
        <v>25</v>
      </c>
    </row>
    <row r="117" spans="1:7" ht="16" customHeight="1" thickBot="1" x14ac:dyDescent="0.2">
      <c r="A117" s="6">
        <v>116</v>
      </c>
      <c r="B117" s="6" t="s">
        <v>31</v>
      </c>
      <c r="C117" s="6" t="s">
        <v>11</v>
      </c>
      <c r="D117" s="6" t="s">
        <v>903</v>
      </c>
      <c r="E117" s="6" t="s">
        <v>904</v>
      </c>
      <c r="F117" s="6" t="s">
        <v>905</v>
      </c>
      <c r="G117" s="6" t="s">
        <v>25</v>
      </c>
    </row>
    <row r="118" spans="1:7" ht="16" customHeight="1" thickBot="1" x14ac:dyDescent="0.2">
      <c r="A118" s="6">
        <v>117</v>
      </c>
      <c r="B118" s="6" t="s">
        <v>36</v>
      </c>
      <c r="C118" s="6" t="s">
        <v>11</v>
      </c>
      <c r="D118" s="6" t="s">
        <v>906</v>
      </c>
      <c r="E118" s="6" t="s">
        <v>907</v>
      </c>
      <c r="F118" s="6" t="s">
        <v>908</v>
      </c>
      <c r="G118" s="6" t="s">
        <v>25</v>
      </c>
    </row>
    <row r="119" spans="1:7" ht="16" customHeight="1" thickBot="1" x14ac:dyDescent="0.2">
      <c r="A119" s="6">
        <v>118</v>
      </c>
      <c r="B119" s="6" t="s">
        <v>36</v>
      </c>
      <c r="C119" s="6" t="s">
        <v>11</v>
      </c>
      <c r="D119" s="6" t="s">
        <v>909</v>
      </c>
      <c r="E119" s="6" t="s">
        <v>910</v>
      </c>
      <c r="F119" s="6" t="s">
        <v>911</v>
      </c>
      <c r="G119" s="6" t="s">
        <v>15</v>
      </c>
    </row>
    <row r="120" spans="1:7" ht="16" customHeight="1" thickBot="1" x14ac:dyDescent="0.2">
      <c r="A120" s="6">
        <v>119</v>
      </c>
      <c r="B120" s="6" t="s">
        <v>36</v>
      </c>
      <c r="C120" s="6" t="s">
        <v>11</v>
      </c>
      <c r="D120" s="6" t="s">
        <v>912</v>
      </c>
      <c r="E120" s="6" t="s">
        <v>913</v>
      </c>
      <c r="F120" s="6" t="s">
        <v>914</v>
      </c>
      <c r="G120" s="6" t="s">
        <v>15</v>
      </c>
    </row>
    <row r="121" spans="1:7" ht="16" customHeight="1" thickBot="1" x14ac:dyDescent="0.2">
      <c r="A121" s="6">
        <v>120</v>
      </c>
      <c r="B121" s="6" t="s">
        <v>36</v>
      </c>
      <c r="C121" s="6" t="s">
        <v>11</v>
      </c>
      <c r="D121" s="6" t="s">
        <v>915</v>
      </c>
      <c r="E121" s="6" t="s">
        <v>916</v>
      </c>
      <c r="F121" s="6" t="s">
        <v>917</v>
      </c>
      <c r="G121" s="6" t="s">
        <v>15</v>
      </c>
    </row>
    <row r="122" spans="1:7" ht="16" customHeight="1" thickBot="1" x14ac:dyDescent="0.2">
      <c r="A122" s="6">
        <v>121</v>
      </c>
      <c r="B122" s="6" t="s">
        <v>36</v>
      </c>
      <c r="C122" s="6" t="s">
        <v>11</v>
      </c>
      <c r="D122" s="6" t="s">
        <v>918</v>
      </c>
      <c r="E122" s="6" t="s">
        <v>919</v>
      </c>
      <c r="F122" s="6" t="s">
        <v>920</v>
      </c>
      <c r="G122" s="6" t="s">
        <v>25</v>
      </c>
    </row>
    <row r="123" spans="1:7" ht="16" customHeight="1" thickBot="1" x14ac:dyDescent="0.2">
      <c r="A123" s="6">
        <v>122</v>
      </c>
      <c r="B123" s="6" t="s">
        <v>36</v>
      </c>
      <c r="C123" s="6" t="s">
        <v>11</v>
      </c>
      <c r="D123" s="6" t="s">
        <v>921</v>
      </c>
      <c r="E123" s="6" t="s">
        <v>922</v>
      </c>
      <c r="F123" s="6" t="s">
        <v>923</v>
      </c>
      <c r="G123" s="6" t="s">
        <v>25</v>
      </c>
    </row>
    <row r="124" spans="1:7" ht="16" customHeight="1" thickBot="1" x14ac:dyDescent="0.2">
      <c r="A124" s="6">
        <v>123</v>
      </c>
      <c r="B124" s="6" t="s">
        <v>36</v>
      </c>
      <c r="C124" s="6" t="s">
        <v>11</v>
      </c>
      <c r="D124" s="6" t="s">
        <v>924</v>
      </c>
      <c r="E124" s="6" t="s">
        <v>925</v>
      </c>
      <c r="F124" s="6" t="s">
        <v>926</v>
      </c>
      <c r="G124" s="6" t="s">
        <v>15</v>
      </c>
    </row>
    <row r="125" spans="1:7" ht="16" customHeight="1" thickBot="1" x14ac:dyDescent="0.2">
      <c r="A125" s="6">
        <v>124</v>
      </c>
      <c r="B125" s="6" t="s">
        <v>36</v>
      </c>
      <c r="C125" s="6" t="s">
        <v>16</v>
      </c>
      <c r="D125" s="6" t="s">
        <v>927</v>
      </c>
      <c r="E125" s="6" t="s">
        <v>98</v>
      </c>
      <c r="F125" s="6" t="s">
        <v>928</v>
      </c>
      <c r="G125" s="6" t="s">
        <v>25</v>
      </c>
    </row>
    <row r="126" spans="1:7" ht="16" customHeight="1" thickBot="1" x14ac:dyDescent="0.2">
      <c r="A126" s="6">
        <v>125</v>
      </c>
      <c r="B126" s="6" t="s">
        <v>36</v>
      </c>
      <c r="C126" s="6" t="s">
        <v>16</v>
      </c>
      <c r="D126" s="6" t="s">
        <v>929</v>
      </c>
      <c r="E126" s="6" t="s">
        <v>106</v>
      </c>
      <c r="F126" s="6" t="s">
        <v>930</v>
      </c>
      <c r="G126" s="6" t="s">
        <v>52</v>
      </c>
    </row>
    <row r="127" spans="1:7" ht="16" customHeight="1" thickBot="1" x14ac:dyDescent="0.2">
      <c r="A127" s="6">
        <v>126</v>
      </c>
      <c r="B127" s="6" t="s">
        <v>36</v>
      </c>
      <c r="C127" s="6" t="s">
        <v>16</v>
      </c>
      <c r="D127" s="6" t="s">
        <v>931</v>
      </c>
      <c r="E127" s="6" t="s">
        <v>337</v>
      </c>
      <c r="F127" s="6" t="s">
        <v>932</v>
      </c>
      <c r="G127" s="6" t="s">
        <v>25</v>
      </c>
    </row>
    <row r="128" spans="1:7" ht="16" customHeight="1" thickBot="1" x14ac:dyDescent="0.2">
      <c r="A128" s="6">
        <v>127</v>
      </c>
      <c r="B128" s="6" t="s">
        <v>36</v>
      </c>
      <c r="C128" s="6" t="s">
        <v>27</v>
      </c>
      <c r="D128" s="6" t="s">
        <v>933</v>
      </c>
      <c r="E128" s="6" t="s">
        <v>934</v>
      </c>
      <c r="F128" s="6" t="s">
        <v>935</v>
      </c>
      <c r="G128" s="6" t="s">
        <v>25</v>
      </c>
    </row>
    <row r="129" spans="1:7" ht="16" customHeight="1" thickBot="1" x14ac:dyDescent="0.2">
      <c r="A129" s="6">
        <v>128</v>
      </c>
      <c r="B129" s="6" t="s">
        <v>36</v>
      </c>
      <c r="C129" s="6" t="s">
        <v>21</v>
      </c>
      <c r="D129" s="6" t="s">
        <v>936</v>
      </c>
      <c r="E129" s="6" t="s">
        <v>127</v>
      </c>
      <c r="F129" s="6" t="s">
        <v>937</v>
      </c>
      <c r="G129" s="6" t="s">
        <v>25</v>
      </c>
    </row>
    <row r="130" spans="1:7" ht="16" customHeight="1" thickBot="1" x14ac:dyDescent="0.2">
      <c r="A130" s="6">
        <v>129</v>
      </c>
      <c r="B130" s="6" t="s">
        <v>36</v>
      </c>
      <c r="C130" s="6" t="s">
        <v>27</v>
      </c>
      <c r="D130" s="6" t="s">
        <v>938</v>
      </c>
      <c r="E130" s="6" t="s">
        <v>939</v>
      </c>
      <c r="F130" s="6" t="s">
        <v>940</v>
      </c>
      <c r="G130" s="6" t="s">
        <v>52</v>
      </c>
    </row>
    <row r="131" spans="1:7" ht="16" customHeight="1" thickBot="1" x14ac:dyDescent="0.2">
      <c r="A131" s="6">
        <v>130</v>
      </c>
      <c r="B131" s="6" t="s">
        <v>36</v>
      </c>
      <c r="C131" s="6" t="s">
        <v>27</v>
      </c>
      <c r="D131" s="6" t="s">
        <v>941</v>
      </c>
      <c r="E131" s="6" t="s">
        <v>942</v>
      </c>
      <c r="F131" s="6" t="s">
        <v>943</v>
      </c>
      <c r="G131" s="6" t="s">
        <v>52</v>
      </c>
    </row>
    <row r="132" spans="1:7" ht="16" customHeight="1" thickBot="1" x14ac:dyDescent="0.2">
      <c r="A132" s="6">
        <v>131</v>
      </c>
      <c r="B132" s="6" t="s">
        <v>36</v>
      </c>
      <c r="C132" s="6" t="s">
        <v>27</v>
      </c>
      <c r="D132" s="6" t="s">
        <v>944</v>
      </c>
      <c r="E132" s="6" t="s">
        <v>945</v>
      </c>
      <c r="F132" s="6" t="s">
        <v>946</v>
      </c>
      <c r="G132" s="6" t="s">
        <v>52</v>
      </c>
    </row>
    <row r="133" spans="1:7" ht="16" customHeight="1" thickBot="1" x14ac:dyDescent="0.2">
      <c r="A133" s="6">
        <v>132</v>
      </c>
      <c r="B133" s="6" t="s">
        <v>36</v>
      </c>
      <c r="C133" s="6" t="s">
        <v>16</v>
      </c>
      <c r="D133" s="6" t="s">
        <v>947</v>
      </c>
      <c r="E133" s="6" t="s">
        <v>127</v>
      </c>
      <c r="F133" s="6" t="s">
        <v>948</v>
      </c>
      <c r="G133" s="6" t="s">
        <v>52</v>
      </c>
    </row>
    <row r="134" spans="1:7" ht="16" customHeight="1" thickBot="1" x14ac:dyDescent="0.2">
      <c r="A134" s="6">
        <v>133</v>
      </c>
      <c r="B134" s="6" t="s">
        <v>36</v>
      </c>
      <c r="C134" s="6" t="s">
        <v>27</v>
      </c>
      <c r="D134" s="6" t="s">
        <v>949</v>
      </c>
      <c r="E134" s="6" t="s">
        <v>950</v>
      </c>
      <c r="F134" s="6" t="s">
        <v>951</v>
      </c>
      <c r="G134" s="6" t="s">
        <v>52</v>
      </c>
    </row>
    <row r="135" spans="1:7" ht="16" customHeight="1" thickBot="1" x14ac:dyDescent="0.2">
      <c r="A135" s="6">
        <v>134</v>
      </c>
      <c r="B135" s="6" t="s">
        <v>36</v>
      </c>
      <c r="C135" s="6" t="s">
        <v>27</v>
      </c>
      <c r="D135" s="6" t="s">
        <v>952</v>
      </c>
      <c r="E135" s="6" t="s">
        <v>953</v>
      </c>
      <c r="F135" s="6" t="s">
        <v>954</v>
      </c>
      <c r="G135" s="6" t="s">
        <v>52</v>
      </c>
    </row>
    <row r="136" spans="1:7" ht="16" customHeight="1" thickBot="1" x14ac:dyDescent="0.2">
      <c r="A136" s="6">
        <v>135</v>
      </c>
      <c r="B136" s="6" t="s">
        <v>36</v>
      </c>
      <c r="C136" s="6" t="s">
        <v>21</v>
      </c>
      <c r="D136" s="6" t="s">
        <v>955</v>
      </c>
      <c r="E136" s="6" t="s">
        <v>360</v>
      </c>
      <c r="F136" s="6" t="s">
        <v>956</v>
      </c>
      <c r="G136" s="6" t="s">
        <v>52</v>
      </c>
    </row>
    <row r="137" spans="1:7" ht="16" customHeight="1" thickBot="1" x14ac:dyDescent="0.2">
      <c r="A137" s="6">
        <v>136</v>
      </c>
      <c r="B137" s="6" t="s">
        <v>36</v>
      </c>
      <c r="C137" s="6" t="s">
        <v>16</v>
      </c>
      <c r="D137" s="6" t="s">
        <v>957</v>
      </c>
      <c r="E137" s="6" t="s">
        <v>127</v>
      </c>
      <c r="F137" s="6" t="s">
        <v>958</v>
      </c>
      <c r="G137" s="6" t="s">
        <v>25</v>
      </c>
    </row>
    <row r="138" spans="1:7" ht="16" customHeight="1" thickBot="1" x14ac:dyDescent="0.2">
      <c r="A138" s="6">
        <v>137</v>
      </c>
      <c r="B138" s="6" t="s">
        <v>36</v>
      </c>
      <c r="C138" s="6" t="s">
        <v>11</v>
      </c>
      <c r="D138" s="6" t="s">
        <v>959</v>
      </c>
      <c r="E138" s="6" t="s">
        <v>960</v>
      </c>
      <c r="F138" s="6" t="s">
        <v>961</v>
      </c>
      <c r="G138" s="6" t="s">
        <v>25</v>
      </c>
    </row>
    <row r="139" spans="1:7" ht="16" customHeight="1" thickBot="1" x14ac:dyDescent="0.2">
      <c r="A139" s="6">
        <v>138</v>
      </c>
      <c r="B139" s="6" t="s">
        <v>36</v>
      </c>
      <c r="C139" s="6" t="s">
        <v>11</v>
      </c>
      <c r="D139" s="6" t="s">
        <v>962</v>
      </c>
      <c r="E139" s="6" t="s">
        <v>963</v>
      </c>
      <c r="F139" s="6" t="s">
        <v>964</v>
      </c>
      <c r="G139" s="6" t="s">
        <v>25</v>
      </c>
    </row>
    <row r="140" spans="1:7" ht="16" customHeight="1" thickBot="1" x14ac:dyDescent="0.2">
      <c r="A140" s="6">
        <v>139</v>
      </c>
      <c r="B140" s="6" t="s">
        <v>36</v>
      </c>
      <c r="C140" s="6" t="s">
        <v>11</v>
      </c>
      <c r="D140" s="6" t="s">
        <v>965</v>
      </c>
      <c r="E140" s="6" t="s">
        <v>966</v>
      </c>
      <c r="F140" s="6" t="s">
        <v>967</v>
      </c>
      <c r="G140" s="6" t="s">
        <v>52</v>
      </c>
    </row>
    <row r="141" spans="1:7" ht="16" customHeight="1" thickBot="1" x14ac:dyDescent="0.2">
      <c r="A141" s="6">
        <v>140</v>
      </c>
      <c r="B141" s="6" t="s">
        <v>36</v>
      </c>
      <c r="C141" s="6" t="s">
        <v>11</v>
      </c>
      <c r="D141" s="6" t="s">
        <v>968</v>
      </c>
      <c r="E141" s="6" t="s">
        <v>969</v>
      </c>
      <c r="F141" s="6" t="s">
        <v>970</v>
      </c>
      <c r="G141" s="6" t="s">
        <v>25</v>
      </c>
    </row>
    <row r="142" spans="1:7" ht="16" customHeight="1" thickBot="1" x14ac:dyDescent="0.2">
      <c r="A142" s="6">
        <v>141</v>
      </c>
      <c r="B142" s="6" t="s">
        <v>36</v>
      </c>
      <c r="C142" s="6" t="s">
        <v>11</v>
      </c>
      <c r="D142" s="6" t="s">
        <v>971</v>
      </c>
      <c r="E142" s="6" t="s">
        <v>972</v>
      </c>
      <c r="F142" s="6" t="s">
        <v>973</v>
      </c>
      <c r="G142" s="6" t="s">
        <v>25</v>
      </c>
    </row>
    <row r="143" spans="1:7" ht="16" customHeight="1" thickBot="1" x14ac:dyDescent="0.2">
      <c r="A143" s="6">
        <v>142</v>
      </c>
      <c r="B143" s="6" t="s">
        <v>36</v>
      </c>
      <c r="C143" s="6" t="s">
        <v>11</v>
      </c>
      <c r="D143" s="6" t="s">
        <v>974</v>
      </c>
      <c r="E143" s="6" t="s">
        <v>975</v>
      </c>
      <c r="F143" s="6" t="s">
        <v>976</v>
      </c>
      <c r="G143" s="6" t="s">
        <v>25</v>
      </c>
    </row>
    <row r="144" spans="1:7" ht="16" customHeight="1" thickBot="1" x14ac:dyDescent="0.2">
      <c r="A144" s="6">
        <v>143</v>
      </c>
      <c r="B144" s="6" t="s">
        <v>36</v>
      </c>
      <c r="C144" s="6" t="s">
        <v>11</v>
      </c>
      <c r="D144" s="6" t="s">
        <v>977</v>
      </c>
      <c r="E144" s="6" t="s">
        <v>978</v>
      </c>
      <c r="F144" s="6" t="s">
        <v>979</v>
      </c>
      <c r="G144" s="6" t="s">
        <v>25</v>
      </c>
    </row>
    <row r="145" spans="1:7" ht="16" customHeight="1" thickBot="1" x14ac:dyDescent="0.2">
      <c r="A145" s="6">
        <v>144</v>
      </c>
      <c r="B145" s="6" t="s">
        <v>36</v>
      </c>
      <c r="C145" s="6" t="s">
        <v>11</v>
      </c>
      <c r="D145" s="6" t="s">
        <v>980</v>
      </c>
      <c r="E145" s="6" t="s">
        <v>981</v>
      </c>
      <c r="F145" s="6" t="s">
        <v>982</v>
      </c>
      <c r="G145" s="6" t="s">
        <v>25</v>
      </c>
    </row>
    <row r="146" spans="1:7" ht="16" customHeight="1" thickBot="1" x14ac:dyDescent="0.2">
      <c r="A146" s="6">
        <v>145</v>
      </c>
      <c r="B146" s="6" t="s">
        <v>36</v>
      </c>
      <c r="C146" s="6" t="s">
        <v>11</v>
      </c>
      <c r="D146" s="6" t="s">
        <v>983</v>
      </c>
      <c r="E146" s="6" t="s">
        <v>984</v>
      </c>
      <c r="F146" s="6" t="s">
        <v>985</v>
      </c>
      <c r="G146" s="6" t="s">
        <v>25</v>
      </c>
    </row>
    <row r="147" spans="1:7" ht="16" customHeight="1" thickBot="1" x14ac:dyDescent="0.2">
      <c r="A147" s="6">
        <v>146</v>
      </c>
      <c r="B147" s="6" t="s">
        <v>36</v>
      </c>
      <c r="C147" s="6" t="s">
        <v>11</v>
      </c>
      <c r="D147" s="6" t="s">
        <v>986</v>
      </c>
      <c r="E147" s="6" t="s">
        <v>987</v>
      </c>
      <c r="F147" s="6" t="s">
        <v>988</v>
      </c>
      <c r="G147" s="6" t="s">
        <v>15</v>
      </c>
    </row>
    <row r="148" spans="1:7" ht="16" customHeight="1" thickBot="1" x14ac:dyDescent="0.2">
      <c r="A148" s="6">
        <v>147</v>
      </c>
      <c r="B148" s="6" t="s">
        <v>36</v>
      </c>
      <c r="C148" s="6" t="s">
        <v>11</v>
      </c>
      <c r="D148" s="6" t="s">
        <v>989</v>
      </c>
      <c r="E148" s="6" t="s">
        <v>990</v>
      </c>
      <c r="F148" s="6" t="s">
        <v>991</v>
      </c>
      <c r="G148" s="6" t="s">
        <v>25</v>
      </c>
    </row>
    <row r="149" spans="1:7" ht="16" customHeight="1" thickBot="1" x14ac:dyDescent="0.25">
      <c r="A149" s="6">
        <v>148</v>
      </c>
      <c r="B149" s="6" t="s">
        <v>36</v>
      </c>
      <c r="C149" s="7" t="s">
        <v>16</v>
      </c>
      <c r="D149" s="6" t="s">
        <v>992</v>
      </c>
      <c r="E149" s="6" t="s">
        <v>98</v>
      </c>
      <c r="F149" s="6" t="s">
        <v>993</v>
      </c>
      <c r="G149" s="6" t="s">
        <v>25</v>
      </c>
    </row>
    <row r="150" spans="1:7" ht="16" customHeight="1" thickBot="1" x14ac:dyDescent="0.2">
      <c r="A150" s="6">
        <v>149</v>
      </c>
      <c r="B150" s="6" t="s">
        <v>36</v>
      </c>
      <c r="C150" s="6" t="s">
        <v>11</v>
      </c>
      <c r="D150" s="6" t="s">
        <v>994</v>
      </c>
      <c r="E150" s="6" t="s">
        <v>995</v>
      </c>
      <c r="F150" s="6" t="s">
        <v>996</v>
      </c>
      <c r="G150" s="6" t="s">
        <v>25</v>
      </c>
    </row>
    <row r="151" spans="1:7" ht="16" customHeight="1" thickBot="1" x14ac:dyDescent="0.2">
      <c r="A151" s="6">
        <v>150</v>
      </c>
      <c r="B151" s="6" t="s">
        <v>36</v>
      </c>
      <c r="C151" s="6" t="s">
        <v>11</v>
      </c>
      <c r="D151" s="6" t="s">
        <v>997</v>
      </c>
      <c r="E151" s="6" t="s">
        <v>998</v>
      </c>
      <c r="F151" s="6" t="s">
        <v>999</v>
      </c>
      <c r="G151" s="6" t="s">
        <v>25</v>
      </c>
    </row>
    <row r="152" spans="1:7" ht="16" customHeight="1" thickBot="1" x14ac:dyDescent="0.25">
      <c r="A152" s="6">
        <v>151</v>
      </c>
      <c r="B152" s="6" t="s">
        <v>36</v>
      </c>
      <c r="C152" s="7" t="s">
        <v>11</v>
      </c>
      <c r="D152" s="6" t="s">
        <v>1000</v>
      </c>
      <c r="E152" s="6" t="s">
        <v>1001</v>
      </c>
      <c r="F152" s="6" t="s">
        <v>1002</v>
      </c>
      <c r="G152" s="6" t="s">
        <v>52</v>
      </c>
    </row>
    <row r="153" spans="1:7" ht="16" customHeight="1" thickBot="1" x14ac:dyDescent="0.25">
      <c r="A153" s="6">
        <v>152</v>
      </c>
      <c r="B153" s="6" t="s">
        <v>36</v>
      </c>
      <c r="C153" s="7" t="s">
        <v>11</v>
      </c>
      <c r="D153" s="6" t="s">
        <v>1003</v>
      </c>
      <c r="E153" s="6" t="s">
        <v>1004</v>
      </c>
      <c r="F153" s="6" t="s">
        <v>1005</v>
      </c>
      <c r="G153" s="6" t="s">
        <v>25</v>
      </c>
    </row>
    <row r="154" spans="1:7" ht="16" customHeight="1" thickBot="1" x14ac:dyDescent="0.25">
      <c r="A154" s="6">
        <v>153</v>
      </c>
      <c r="B154" s="6" t="s">
        <v>36</v>
      </c>
      <c r="C154" s="7" t="s">
        <v>11</v>
      </c>
      <c r="D154" s="6" t="s">
        <v>1006</v>
      </c>
      <c r="E154" s="6" t="s">
        <v>1007</v>
      </c>
      <c r="F154" s="6" t="s">
        <v>1008</v>
      </c>
      <c r="G154" s="6" t="s">
        <v>25</v>
      </c>
    </row>
    <row r="155" spans="1:7" ht="16" customHeight="1" thickBot="1" x14ac:dyDescent="0.25">
      <c r="A155" s="6">
        <v>154</v>
      </c>
      <c r="B155" s="6" t="s">
        <v>36</v>
      </c>
      <c r="C155" s="7" t="s">
        <v>16</v>
      </c>
      <c r="D155" s="6" t="s">
        <v>1009</v>
      </c>
      <c r="E155" s="6" t="s">
        <v>159</v>
      </c>
      <c r="F155" s="6" t="s">
        <v>1010</v>
      </c>
      <c r="G155" s="6" t="s">
        <v>25</v>
      </c>
    </row>
    <row r="156" spans="1:7" ht="16" customHeight="1" thickBot="1" x14ac:dyDescent="0.25">
      <c r="A156" s="6">
        <v>155</v>
      </c>
      <c r="B156" s="6" t="s">
        <v>36</v>
      </c>
      <c r="C156" s="7" t="s">
        <v>11</v>
      </c>
      <c r="D156" s="6" t="s">
        <v>1011</v>
      </c>
      <c r="E156" s="6" t="s">
        <v>1012</v>
      </c>
      <c r="F156" s="6" t="s">
        <v>1013</v>
      </c>
      <c r="G156" s="6" t="s">
        <v>25</v>
      </c>
    </row>
    <row r="157" spans="1:7" ht="16" customHeight="1" thickBot="1" x14ac:dyDescent="0.25">
      <c r="A157" s="6">
        <v>156</v>
      </c>
      <c r="B157" s="6" t="s">
        <v>36</v>
      </c>
      <c r="C157" s="7" t="s">
        <v>11</v>
      </c>
      <c r="D157" s="6" t="s">
        <v>1014</v>
      </c>
      <c r="E157" s="6" t="s">
        <v>1015</v>
      </c>
      <c r="F157" s="6" t="s">
        <v>1016</v>
      </c>
      <c r="G157" s="6" t="s">
        <v>25</v>
      </c>
    </row>
    <row r="158" spans="1:7" ht="16" customHeight="1" thickBot="1" x14ac:dyDescent="0.25">
      <c r="A158" s="6">
        <v>157</v>
      </c>
      <c r="B158" s="6" t="s">
        <v>36</v>
      </c>
      <c r="C158" s="7" t="s">
        <v>16</v>
      </c>
      <c r="D158" s="6" t="s">
        <v>1017</v>
      </c>
      <c r="E158" s="6" t="s">
        <v>127</v>
      </c>
      <c r="F158" s="6" t="s">
        <v>1018</v>
      </c>
      <c r="G158" s="6" t="s">
        <v>25</v>
      </c>
    </row>
    <row r="159" spans="1:7" ht="16" customHeight="1" thickBot="1" x14ac:dyDescent="0.25">
      <c r="A159" s="6">
        <v>158</v>
      </c>
      <c r="B159" s="6" t="s">
        <v>36</v>
      </c>
      <c r="C159" s="7" t="s">
        <v>16</v>
      </c>
      <c r="D159" s="6" t="s">
        <v>1019</v>
      </c>
      <c r="E159" s="6" t="s">
        <v>98</v>
      </c>
      <c r="F159" s="6" t="s">
        <v>1020</v>
      </c>
      <c r="G159" s="6" t="s">
        <v>25</v>
      </c>
    </row>
    <row r="160" spans="1:7" ht="16" customHeight="1" thickBot="1" x14ac:dyDescent="0.25">
      <c r="A160" s="6">
        <v>159</v>
      </c>
      <c r="B160" s="6" t="s">
        <v>36</v>
      </c>
      <c r="C160" s="7" t="s">
        <v>16</v>
      </c>
      <c r="D160" s="6" t="s">
        <v>1021</v>
      </c>
      <c r="E160" s="6" t="s">
        <v>159</v>
      </c>
      <c r="F160" s="6" t="s">
        <v>1022</v>
      </c>
      <c r="G160" s="6" t="s">
        <v>25</v>
      </c>
    </row>
    <row r="161" spans="1:7" ht="16" customHeight="1" thickBot="1" x14ac:dyDescent="0.25">
      <c r="A161" s="6">
        <v>160</v>
      </c>
      <c r="B161" s="6" t="s">
        <v>36</v>
      </c>
      <c r="C161" s="7" t="s">
        <v>16</v>
      </c>
      <c r="D161" s="6" t="s">
        <v>1023</v>
      </c>
      <c r="E161" s="6" t="s">
        <v>98</v>
      </c>
      <c r="F161" s="6" t="s">
        <v>1024</v>
      </c>
      <c r="G161" s="6" t="s">
        <v>25</v>
      </c>
    </row>
    <row r="162" spans="1:7" ht="16" customHeight="1" thickBot="1" x14ac:dyDescent="0.25">
      <c r="A162" s="6">
        <v>161</v>
      </c>
      <c r="B162" s="6" t="s">
        <v>36</v>
      </c>
      <c r="C162" s="7" t="s">
        <v>11</v>
      </c>
      <c r="D162" s="6" t="s">
        <v>1025</v>
      </c>
      <c r="E162" s="6" t="s">
        <v>1026</v>
      </c>
      <c r="F162" s="6" t="s">
        <v>1027</v>
      </c>
      <c r="G162" s="6" t="s">
        <v>25</v>
      </c>
    </row>
    <row r="163" spans="1:7" ht="16" customHeight="1" thickBot="1" x14ac:dyDescent="0.25">
      <c r="A163" s="6">
        <v>162</v>
      </c>
      <c r="B163" s="6" t="s">
        <v>36</v>
      </c>
      <c r="C163" s="7" t="s">
        <v>11</v>
      </c>
      <c r="D163" s="6" t="s">
        <v>1028</v>
      </c>
      <c r="E163" s="6" t="s">
        <v>1029</v>
      </c>
      <c r="F163" s="6" t="s">
        <v>1030</v>
      </c>
      <c r="G163" s="6" t="s">
        <v>25</v>
      </c>
    </row>
    <row r="164" spans="1:7" ht="16" customHeight="1" thickBot="1" x14ac:dyDescent="0.2">
      <c r="A164" s="6">
        <v>163</v>
      </c>
      <c r="B164" s="6" t="s">
        <v>36</v>
      </c>
      <c r="C164" s="6" t="s">
        <v>16</v>
      </c>
      <c r="D164" s="6" t="s">
        <v>1031</v>
      </c>
      <c r="E164" s="6" t="s">
        <v>98</v>
      </c>
      <c r="F164" s="6" t="s">
        <v>1032</v>
      </c>
      <c r="G164" s="6" t="s">
        <v>25</v>
      </c>
    </row>
    <row r="165" spans="1:7" ht="16" customHeight="1" thickBot="1" x14ac:dyDescent="0.2">
      <c r="A165" s="6">
        <v>164</v>
      </c>
      <c r="B165" s="6" t="s">
        <v>36</v>
      </c>
      <c r="C165" s="6" t="s">
        <v>16</v>
      </c>
      <c r="D165" s="6" t="s">
        <v>1033</v>
      </c>
      <c r="E165" s="6" t="s">
        <v>127</v>
      </c>
      <c r="F165" s="6" t="s">
        <v>1034</v>
      </c>
      <c r="G165" s="6" t="s">
        <v>25</v>
      </c>
    </row>
    <row r="166" spans="1:7" ht="16" customHeight="1" thickBot="1" x14ac:dyDescent="0.2">
      <c r="A166" s="6">
        <v>165</v>
      </c>
      <c r="B166" s="6" t="s">
        <v>36</v>
      </c>
      <c r="C166" s="6" t="s">
        <v>16</v>
      </c>
      <c r="D166" s="6" t="s">
        <v>1035</v>
      </c>
      <c r="E166" s="6" t="s">
        <v>159</v>
      </c>
      <c r="F166" s="6" t="s">
        <v>1036</v>
      </c>
      <c r="G166" s="6" t="s">
        <v>52</v>
      </c>
    </row>
    <row r="167" spans="1:7" ht="16" customHeight="1" thickBot="1" x14ac:dyDescent="0.2">
      <c r="A167" s="6">
        <v>166</v>
      </c>
      <c r="B167" s="6" t="s">
        <v>36</v>
      </c>
      <c r="C167" s="6" t="s">
        <v>16</v>
      </c>
      <c r="D167" s="6" t="s">
        <v>1037</v>
      </c>
      <c r="E167" s="6" t="s">
        <v>127</v>
      </c>
      <c r="F167" s="6" t="s">
        <v>1038</v>
      </c>
      <c r="G167" s="6" t="s">
        <v>52</v>
      </c>
    </row>
    <row r="168" spans="1:7" ht="16" customHeight="1" thickBot="1" x14ac:dyDescent="0.2">
      <c r="A168" s="6">
        <v>167</v>
      </c>
      <c r="B168" s="6" t="s">
        <v>36</v>
      </c>
      <c r="C168" s="6" t="s">
        <v>16</v>
      </c>
      <c r="D168" s="6" t="s">
        <v>1039</v>
      </c>
      <c r="E168" s="6" t="s">
        <v>98</v>
      </c>
      <c r="F168" s="6" t="s">
        <v>1040</v>
      </c>
      <c r="G168" s="6" t="s">
        <v>52</v>
      </c>
    </row>
    <row r="169" spans="1:7" ht="16" customHeight="1" thickBot="1" x14ac:dyDescent="0.2">
      <c r="A169" s="6">
        <v>168</v>
      </c>
      <c r="B169" s="6" t="s">
        <v>20</v>
      </c>
      <c r="C169" s="6" t="s">
        <v>32</v>
      </c>
      <c r="D169" s="6" t="s">
        <v>1041</v>
      </c>
      <c r="E169" s="6" t="s">
        <v>652</v>
      </c>
      <c r="F169" s="6" t="s">
        <v>1042</v>
      </c>
      <c r="G169" s="6" t="s">
        <v>25</v>
      </c>
    </row>
    <row r="170" spans="1:7" ht="16" customHeight="1" thickBot="1" x14ac:dyDescent="0.2">
      <c r="A170" s="6">
        <v>169</v>
      </c>
      <c r="B170" s="6" t="s">
        <v>20</v>
      </c>
      <c r="C170" s="6" t="s">
        <v>32</v>
      </c>
      <c r="D170" s="6" t="s">
        <v>1043</v>
      </c>
      <c r="E170" s="6" t="s">
        <v>657</v>
      </c>
      <c r="F170" s="6" t="s">
        <v>1044</v>
      </c>
      <c r="G170" s="6" t="s">
        <v>52</v>
      </c>
    </row>
    <row r="171" spans="1:7" ht="16" customHeight="1" thickBot="1" x14ac:dyDescent="0.2">
      <c r="A171" s="6">
        <v>170</v>
      </c>
      <c r="B171" s="6" t="s">
        <v>20</v>
      </c>
      <c r="C171" s="6" t="s">
        <v>32</v>
      </c>
      <c r="D171" s="6" t="s">
        <v>1045</v>
      </c>
      <c r="E171" s="6" t="s">
        <v>657</v>
      </c>
      <c r="F171" s="6" t="s">
        <v>1046</v>
      </c>
      <c r="G171" s="6" t="s">
        <v>52</v>
      </c>
    </row>
    <row r="172" spans="1:7" ht="16" customHeight="1" thickBot="1" x14ac:dyDescent="0.2">
      <c r="A172" s="6">
        <v>171</v>
      </c>
      <c r="B172" s="6" t="s">
        <v>20</v>
      </c>
      <c r="C172" s="6" t="s">
        <v>32</v>
      </c>
      <c r="D172" s="6" t="s">
        <v>1047</v>
      </c>
      <c r="E172" s="6" t="s">
        <v>652</v>
      </c>
      <c r="F172" s="6" t="s">
        <v>1048</v>
      </c>
      <c r="G172" s="6" t="s">
        <v>52</v>
      </c>
    </row>
    <row r="173" spans="1:7" ht="16" customHeight="1" thickBot="1" x14ac:dyDescent="0.2">
      <c r="A173" s="6">
        <v>172</v>
      </c>
      <c r="B173" s="6" t="s">
        <v>20</v>
      </c>
      <c r="C173" s="6" t="s">
        <v>32</v>
      </c>
      <c r="D173" s="6" t="s">
        <v>1049</v>
      </c>
      <c r="E173" s="6" t="s">
        <v>657</v>
      </c>
      <c r="F173" s="6" t="s">
        <v>1050</v>
      </c>
      <c r="G173" s="6" t="s">
        <v>25</v>
      </c>
    </row>
    <row r="174" spans="1:7" ht="16" customHeight="1" thickBot="1" x14ac:dyDescent="0.2">
      <c r="A174" s="6">
        <v>173</v>
      </c>
      <c r="B174" s="6" t="s">
        <v>20</v>
      </c>
      <c r="C174" s="6" t="s">
        <v>32</v>
      </c>
      <c r="D174" s="6" t="s">
        <v>1051</v>
      </c>
      <c r="E174" s="6" t="s">
        <v>657</v>
      </c>
      <c r="F174" s="6" t="s">
        <v>1052</v>
      </c>
      <c r="G174" s="6" t="s">
        <v>25</v>
      </c>
    </row>
    <row r="175" spans="1:7" ht="16" customHeight="1" thickBot="1" x14ac:dyDescent="0.2">
      <c r="A175" s="6">
        <v>174</v>
      </c>
      <c r="B175" s="6" t="s">
        <v>20</v>
      </c>
      <c r="C175" s="6" t="s">
        <v>32</v>
      </c>
      <c r="D175" s="6" t="s">
        <v>1053</v>
      </c>
      <c r="E175" s="6" t="s">
        <v>657</v>
      </c>
      <c r="F175" s="6" t="s">
        <v>1054</v>
      </c>
      <c r="G175" s="6" t="s">
        <v>25</v>
      </c>
    </row>
    <row r="176" spans="1:7" ht="16" customHeight="1" thickBot="1" x14ac:dyDescent="0.2">
      <c r="A176" s="6">
        <v>175</v>
      </c>
      <c r="B176" s="6" t="s">
        <v>26</v>
      </c>
      <c r="C176" s="6" t="s">
        <v>32</v>
      </c>
      <c r="D176" s="6" t="s">
        <v>1055</v>
      </c>
      <c r="E176" s="6" t="s">
        <v>657</v>
      </c>
      <c r="F176" s="6" t="s">
        <v>1056</v>
      </c>
      <c r="G176" s="6" t="s">
        <v>52</v>
      </c>
    </row>
    <row r="177" spans="1:7" ht="16" customHeight="1" thickBot="1" x14ac:dyDescent="0.2">
      <c r="A177" s="6">
        <v>176</v>
      </c>
      <c r="B177" s="6" t="s">
        <v>26</v>
      </c>
      <c r="C177" s="6" t="s">
        <v>32</v>
      </c>
      <c r="D177" s="6" t="s">
        <v>1057</v>
      </c>
      <c r="E177" s="6" t="s">
        <v>657</v>
      </c>
      <c r="F177" s="6" t="s">
        <v>1058</v>
      </c>
      <c r="G177" s="6" t="s">
        <v>52</v>
      </c>
    </row>
    <row r="178" spans="1:7" ht="16" customHeight="1" thickBot="1" x14ac:dyDescent="0.2">
      <c r="A178" s="6">
        <v>177</v>
      </c>
      <c r="B178" s="6" t="s">
        <v>26</v>
      </c>
      <c r="C178" s="6" t="s">
        <v>32</v>
      </c>
      <c r="D178" s="6" t="s">
        <v>1059</v>
      </c>
      <c r="E178" s="6" t="s">
        <v>657</v>
      </c>
      <c r="F178" s="6" t="s">
        <v>1060</v>
      </c>
      <c r="G178" s="6" t="s">
        <v>52</v>
      </c>
    </row>
    <row r="179" spans="1:7" ht="16" customHeight="1" thickBot="1" x14ac:dyDescent="0.2">
      <c r="A179" s="8">
        <v>178</v>
      </c>
      <c r="B179" s="6" t="s">
        <v>26</v>
      </c>
      <c r="C179" s="6" t="s">
        <v>32</v>
      </c>
      <c r="D179" s="6" t="s">
        <v>1061</v>
      </c>
      <c r="E179" s="6" t="s">
        <v>652</v>
      </c>
      <c r="F179" s="6" t="s">
        <v>1062</v>
      </c>
      <c r="G179" s="6" t="s">
        <v>25</v>
      </c>
    </row>
    <row r="180" spans="1:7" ht="16" customHeight="1" thickBot="1" x14ac:dyDescent="0.2">
      <c r="A180" s="8">
        <v>179</v>
      </c>
      <c r="B180" s="6" t="s">
        <v>26</v>
      </c>
      <c r="C180" s="6" t="s">
        <v>32</v>
      </c>
      <c r="D180" s="6" t="s">
        <v>1063</v>
      </c>
      <c r="E180" s="6" t="s">
        <v>657</v>
      </c>
      <c r="F180" s="6" t="s">
        <v>1064</v>
      </c>
      <c r="G180" s="6" t="s">
        <v>25</v>
      </c>
    </row>
    <row r="181" spans="1:7" ht="16" customHeight="1" thickBot="1" x14ac:dyDescent="0.2">
      <c r="A181" s="8">
        <v>180</v>
      </c>
      <c r="B181" s="6" t="s">
        <v>26</v>
      </c>
      <c r="C181" s="6" t="s">
        <v>32</v>
      </c>
      <c r="D181" s="6" t="s">
        <v>1065</v>
      </c>
      <c r="E181" s="6" t="s">
        <v>657</v>
      </c>
      <c r="F181" s="6" t="s">
        <v>1066</v>
      </c>
      <c r="G181" s="6" t="s">
        <v>52</v>
      </c>
    </row>
    <row r="182" spans="1:7" ht="16" customHeight="1" thickBot="1" x14ac:dyDescent="0.2">
      <c r="A182" s="8">
        <v>181</v>
      </c>
      <c r="B182" s="6" t="s">
        <v>26</v>
      </c>
      <c r="C182" s="6" t="s">
        <v>32</v>
      </c>
      <c r="D182" s="6" t="s">
        <v>1067</v>
      </c>
      <c r="E182" s="6" t="s">
        <v>652</v>
      </c>
      <c r="F182" s="6" t="s">
        <v>1068</v>
      </c>
      <c r="G182" s="6" t="s">
        <v>25</v>
      </c>
    </row>
    <row r="183" spans="1:7" ht="16" customHeight="1" thickBot="1" x14ac:dyDescent="0.2">
      <c r="A183" s="8">
        <v>182</v>
      </c>
      <c r="B183" s="6" t="s">
        <v>20</v>
      </c>
      <c r="C183" s="6" t="s">
        <v>21</v>
      </c>
      <c r="D183" s="6" t="s">
        <v>1069</v>
      </c>
      <c r="E183" s="6" t="s">
        <v>159</v>
      </c>
      <c r="F183" s="6" t="s">
        <v>1070</v>
      </c>
      <c r="G183" s="6" t="s">
        <v>52</v>
      </c>
    </row>
    <row r="184" spans="1:7" ht="16" customHeight="1" thickBot="1" x14ac:dyDescent="0.2">
      <c r="A184" s="8">
        <v>183</v>
      </c>
      <c r="B184" s="6" t="s">
        <v>20</v>
      </c>
      <c r="C184" s="6" t="s">
        <v>21</v>
      </c>
      <c r="D184" s="6" t="s">
        <v>1071</v>
      </c>
      <c r="E184" s="6" t="s">
        <v>127</v>
      </c>
      <c r="F184" s="6" t="s">
        <v>1072</v>
      </c>
      <c r="G184" s="6" t="s">
        <v>25</v>
      </c>
    </row>
    <row r="185" spans="1:7" ht="16" customHeight="1" thickBot="1" x14ac:dyDescent="0.2">
      <c r="A185" s="8">
        <v>184</v>
      </c>
      <c r="B185" s="6" t="s">
        <v>20</v>
      </c>
      <c r="C185" s="6" t="s">
        <v>27</v>
      </c>
      <c r="D185" s="6" t="s">
        <v>1073</v>
      </c>
      <c r="E185" s="6" t="s">
        <v>1074</v>
      </c>
      <c r="F185" s="6" t="s">
        <v>1075</v>
      </c>
      <c r="G185" s="6" t="s">
        <v>25</v>
      </c>
    </row>
    <row r="186" spans="1:7" ht="16" customHeight="1" thickBot="1" x14ac:dyDescent="0.2">
      <c r="A186" s="8">
        <v>185</v>
      </c>
      <c r="B186" s="6" t="s">
        <v>20</v>
      </c>
      <c r="C186" s="6" t="s">
        <v>27</v>
      </c>
      <c r="D186" s="6" t="s">
        <v>1076</v>
      </c>
      <c r="E186" s="6" t="s">
        <v>1077</v>
      </c>
      <c r="F186" s="6" t="s">
        <v>1078</v>
      </c>
      <c r="G186" s="6" t="s">
        <v>52</v>
      </c>
    </row>
    <row r="187" spans="1:7" ht="16" customHeight="1" thickBot="1" x14ac:dyDescent="0.2">
      <c r="A187" s="8">
        <v>186</v>
      </c>
      <c r="B187" s="6" t="s">
        <v>20</v>
      </c>
      <c r="C187" s="6" t="s">
        <v>27</v>
      </c>
      <c r="D187" s="6" t="s">
        <v>1079</v>
      </c>
      <c r="E187" s="6" t="s">
        <v>1080</v>
      </c>
      <c r="F187" s="6" t="s">
        <v>1081</v>
      </c>
      <c r="G187" s="6" t="s">
        <v>52</v>
      </c>
    </row>
    <row r="188" spans="1:7" ht="16" customHeight="1" thickBot="1" x14ac:dyDescent="0.2">
      <c r="A188" s="8">
        <v>187</v>
      </c>
      <c r="B188" s="6" t="s">
        <v>20</v>
      </c>
      <c r="C188" s="6" t="s">
        <v>27</v>
      </c>
      <c r="D188" s="6" t="s">
        <v>1082</v>
      </c>
      <c r="E188" s="6" t="s">
        <v>1083</v>
      </c>
      <c r="F188" s="6" t="s">
        <v>1084</v>
      </c>
      <c r="G188" s="6" t="s">
        <v>52</v>
      </c>
    </row>
    <row r="189" spans="1:7" ht="16" customHeight="1" thickBot="1" x14ac:dyDescent="0.2">
      <c r="A189" s="8">
        <v>188</v>
      </c>
      <c r="B189" s="6" t="s">
        <v>20</v>
      </c>
      <c r="C189" s="6" t="s">
        <v>27</v>
      </c>
      <c r="D189" s="6" t="s">
        <v>1085</v>
      </c>
      <c r="E189" s="6" t="s">
        <v>1086</v>
      </c>
      <c r="F189" s="6" t="s">
        <v>1087</v>
      </c>
      <c r="G189" s="6" t="s">
        <v>52</v>
      </c>
    </row>
    <row r="190" spans="1:7" ht="16" customHeight="1" thickBot="1" x14ac:dyDescent="0.2">
      <c r="A190" s="8">
        <v>189</v>
      </c>
      <c r="B190" s="6" t="s">
        <v>20</v>
      </c>
      <c r="C190" s="6" t="s">
        <v>27</v>
      </c>
      <c r="D190" s="6" t="s">
        <v>1088</v>
      </c>
      <c r="E190" s="8">
        <v>9</v>
      </c>
      <c r="F190" s="6" t="s">
        <v>1089</v>
      </c>
      <c r="G190" s="6" t="s">
        <v>52</v>
      </c>
    </row>
    <row r="191" spans="1:7" ht="16" customHeight="1" thickBot="1" x14ac:dyDescent="0.2">
      <c r="A191" s="8">
        <v>190</v>
      </c>
      <c r="B191" s="6" t="s">
        <v>20</v>
      </c>
      <c r="C191" s="6" t="s">
        <v>27</v>
      </c>
      <c r="D191" s="6" t="s">
        <v>1090</v>
      </c>
      <c r="E191" s="8">
        <v>8</v>
      </c>
      <c r="F191" s="6" t="s">
        <v>1091</v>
      </c>
      <c r="G191" s="6" t="s">
        <v>25</v>
      </c>
    </row>
    <row r="192" spans="1:7" ht="16" customHeight="1" thickBot="1" x14ac:dyDescent="0.2">
      <c r="A192" s="8">
        <v>191</v>
      </c>
      <c r="B192" s="6" t="s">
        <v>20</v>
      </c>
      <c r="C192" s="6" t="s">
        <v>27</v>
      </c>
      <c r="D192" s="6" t="s">
        <v>1092</v>
      </c>
      <c r="E192" s="6" t="s">
        <v>1093</v>
      </c>
      <c r="F192" s="6" t="s">
        <v>1094</v>
      </c>
      <c r="G192" s="6" t="s">
        <v>25</v>
      </c>
    </row>
    <row r="193" spans="1:7" ht="16" customHeight="1" thickBot="1" x14ac:dyDescent="0.2">
      <c r="A193" s="8">
        <v>192</v>
      </c>
      <c r="B193" s="6" t="s">
        <v>26</v>
      </c>
      <c r="C193" s="6" t="s">
        <v>32</v>
      </c>
      <c r="D193" s="6" t="s">
        <v>1095</v>
      </c>
      <c r="E193" s="6" t="s">
        <v>652</v>
      </c>
      <c r="F193" s="6" t="s">
        <v>1096</v>
      </c>
      <c r="G193" s="6" t="s">
        <v>52</v>
      </c>
    </row>
    <row r="194" spans="1:7" ht="16" customHeight="1" thickBot="1" x14ac:dyDescent="0.2">
      <c r="A194" s="8">
        <v>193</v>
      </c>
      <c r="B194" s="6" t="s">
        <v>26</v>
      </c>
      <c r="C194" s="6" t="s">
        <v>32</v>
      </c>
      <c r="D194" s="6" t="s">
        <v>1097</v>
      </c>
      <c r="E194" s="6" t="s">
        <v>652</v>
      </c>
      <c r="F194" s="6" t="s">
        <v>1098</v>
      </c>
      <c r="G194" s="6" t="s">
        <v>25</v>
      </c>
    </row>
    <row r="195" spans="1:7" ht="16" customHeight="1" thickBot="1" x14ac:dyDescent="0.2">
      <c r="A195" s="8">
        <v>194</v>
      </c>
      <c r="B195" s="6" t="s">
        <v>31</v>
      </c>
      <c r="C195" s="6" t="s">
        <v>21</v>
      </c>
      <c r="D195" s="6" t="s">
        <v>1099</v>
      </c>
      <c r="E195" s="6" t="s">
        <v>501</v>
      </c>
      <c r="F195" s="6" t="s">
        <v>1100</v>
      </c>
      <c r="G195" s="6" t="s">
        <v>25</v>
      </c>
    </row>
    <row r="196" spans="1:7" ht="16" customHeight="1" thickBot="1" x14ac:dyDescent="0.2">
      <c r="A196" s="8">
        <v>195</v>
      </c>
      <c r="B196" s="6" t="s">
        <v>31</v>
      </c>
      <c r="C196" s="6" t="s">
        <v>21</v>
      </c>
      <c r="D196" s="6" t="s">
        <v>1101</v>
      </c>
      <c r="E196" s="6" t="s">
        <v>503</v>
      </c>
      <c r="F196" s="6" t="s">
        <v>1102</v>
      </c>
      <c r="G196" s="6" t="s">
        <v>15</v>
      </c>
    </row>
    <row r="197" spans="1:7" ht="16" customHeight="1" thickBot="1" x14ac:dyDescent="0.2">
      <c r="A197" s="8">
        <v>196</v>
      </c>
      <c r="B197" s="6" t="s">
        <v>31</v>
      </c>
      <c r="C197" s="6" t="s">
        <v>21</v>
      </c>
      <c r="D197" s="6" t="s">
        <v>1103</v>
      </c>
      <c r="E197" s="6" t="s">
        <v>505</v>
      </c>
      <c r="F197" s="6" t="s">
        <v>1104</v>
      </c>
      <c r="G197" s="6" t="s">
        <v>25</v>
      </c>
    </row>
    <row r="198" spans="1:7" ht="16" customHeight="1" thickBot="1" x14ac:dyDescent="0.2">
      <c r="A198" s="8">
        <v>197</v>
      </c>
      <c r="B198" s="6" t="s">
        <v>20</v>
      </c>
      <c r="C198" s="6" t="s">
        <v>27</v>
      </c>
      <c r="D198" s="6" t="s">
        <v>1105</v>
      </c>
      <c r="E198" s="6" t="s">
        <v>508</v>
      </c>
      <c r="F198" s="6" t="s">
        <v>1106</v>
      </c>
      <c r="G198" s="6" t="s">
        <v>25</v>
      </c>
    </row>
    <row r="199" spans="1:7" ht="16" customHeight="1" thickBot="1" x14ac:dyDescent="0.2">
      <c r="A199" s="8">
        <v>198</v>
      </c>
      <c r="B199" s="6" t="s">
        <v>20</v>
      </c>
      <c r="C199" s="6" t="s">
        <v>21</v>
      </c>
      <c r="D199" s="6" t="s">
        <v>1107</v>
      </c>
      <c r="E199" s="6" t="s">
        <v>106</v>
      </c>
      <c r="F199" s="6" t="s">
        <v>1108</v>
      </c>
      <c r="G199" s="6" t="s">
        <v>25</v>
      </c>
    </row>
    <row r="200" spans="1:7" ht="16" customHeight="1" thickBot="1" x14ac:dyDescent="0.2">
      <c r="A200" s="8">
        <v>199</v>
      </c>
      <c r="B200" s="6" t="s">
        <v>20</v>
      </c>
      <c r="C200" s="6" t="s">
        <v>21</v>
      </c>
      <c r="D200" s="6" t="s">
        <v>1109</v>
      </c>
      <c r="E200" s="6" t="s">
        <v>106</v>
      </c>
      <c r="F200" s="6" t="s">
        <v>1110</v>
      </c>
      <c r="G200" s="6" t="s">
        <v>52</v>
      </c>
    </row>
    <row r="201" spans="1:7" ht="16" customHeight="1" thickBot="1" x14ac:dyDescent="0.2">
      <c r="A201" s="8">
        <v>200</v>
      </c>
      <c r="B201" s="6" t="s">
        <v>31</v>
      </c>
      <c r="C201" s="6" t="s">
        <v>27</v>
      </c>
      <c r="D201" s="6" t="s">
        <v>1111</v>
      </c>
      <c r="E201" s="6" t="s">
        <v>1112</v>
      </c>
      <c r="F201" s="6" t="s">
        <v>1113</v>
      </c>
      <c r="G201" s="6" t="s">
        <v>52</v>
      </c>
    </row>
    <row r="202" spans="1:7" ht="16" customHeight="1" thickBot="1" x14ac:dyDescent="0.2">
      <c r="A202" s="8">
        <v>201</v>
      </c>
      <c r="B202" s="6" t="s">
        <v>31</v>
      </c>
      <c r="C202" s="6" t="s">
        <v>27</v>
      </c>
      <c r="D202" s="6" t="s">
        <v>1114</v>
      </c>
      <c r="E202" s="6" t="s">
        <v>1115</v>
      </c>
      <c r="F202" s="6" t="s">
        <v>1116</v>
      </c>
      <c r="G202" s="6" t="s">
        <v>52</v>
      </c>
    </row>
    <row r="203" spans="1:7" ht="16" customHeight="1" thickBot="1" x14ac:dyDescent="0.2">
      <c r="A203" s="8">
        <v>202</v>
      </c>
      <c r="B203" s="6" t="s">
        <v>31</v>
      </c>
      <c r="C203" s="6" t="s">
        <v>21</v>
      </c>
      <c r="D203" s="6" t="s">
        <v>1117</v>
      </c>
      <c r="E203" s="6" t="s">
        <v>518</v>
      </c>
      <c r="F203" s="6" t="s">
        <v>1118</v>
      </c>
      <c r="G203" s="6" t="s">
        <v>25</v>
      </c>
    </row>
    <row r="204" spans="1:7" ht="16" customHeight="1" thickBot="1" x14ac:dyDescent="0.2">
      <c r="A204" s="8">
        <v>203</v>
      </c>
      <c r="B204" s="6" t="s">
        <v>31</v>
      </c>
      <c r="C204" s="6" t="s">
        <v>21</v>
      </c>
      <c r="D204" s="6" t="s">
        <v>1119</v>
      </c>
      <c r="E204" s="6" t="s">
        <v>127</v>
      </c>
      <c r="F204" s="6" t="s">
        <v>1120</v>
      </c>
      <c r="G204" s="6" t="s">
        <v>25</v>
      </c>
    </row>
    <row r="205" spans="1:7" ht="16" customHeight="1" thickBot="1" x14ac:dyDescent="0.2">
      <c r="A205" s="8">
        <v>204</v>
      </c>
      <c r="B205" s="6" t="s">
        <v>31</v>
      </c>
      <c r="C205" s="6" t="s">
        <v>27</v>
      </c>
      <c r="D205" s="6" t="s">
        <v>1121</v>
      </c>
      <c r="E205" s="8">
        <v>34</v>
      </c>
      <c r="F205" s="6" t="s">
        <v>1122</v>
      </c>
      <c r="G205" s="6" t="s">
        <v>52</v>
      </c>
    </row>
    <row r="206" spans="1:7" ht="16" customHeight="1" thickBot="1" x14ac:dyDescent="0.2">
      <c r="A206" s="8">
        <v>205</v>
      </c>
      <c r="B206" s="6" t="s">
        <v>31</v>
      </c>
      <c r="C206" s="6" t="s">
        <v>16</v>
      </c>
      <c r="D206" s="6" t="s">
        <v>1123</v>
      </c>
      <c r="E206" s="6" t="s">
        <v>98</v>
      </c>
      <c r="F206" s="6" t="s">
        <v>1124</v>
      </c>
      <c r="G206" s="6" t="s">
        <v>25</v>
      </c>
    </row>
    <row r="207" spans="1:7" ht="16" customHeight="1" thickBot="1" x14ac:dyDescent="0.2">
      <c r="A207" s="8">
        <v>206</v>
      </c>
      <c r="B207" s="6" t="s">
        <v>31</v>
      </c>
      <c r="C207" s="6" t="s">
        <v>27</v>
      </c>
      <c r="D207" s="6" t="s">
        <v>1125</v>
      </c>
      <c r="E207" s="6" t="s">
        <v>1115</v>
      </c>
      <c r="F207" s="6" t="s">
        <v>1126</v>
      </c>
      <c r="G207" s="6" t="s">
        <v>52</v>
      </c>
    </row>
    <row r="208" spans="1:7" ht="16" customHeight="1" thickBot="1" x14ac:dyDescent="0.2">
      <c r="A208" s="8">
        <v>207</v>
      </c>
      <c r="B208" s="6" t="s">
        <v>31</v>
      </c>
      <c r="C208" s="6" t="s">
        <v>32</v>
      </c>
      <c r="D208" s="6" t="s">
        <v>1127</v>
      </c>
      <c r="E208" s="6" t="s">
        <v>174</v>
      </c>
      <c r="F208" s="6" t="s">
        <v>1128</v>
      </c>
      <c r="G208" s="6" t="s">
        <v>52</v>
      </c>
    </row>
    <row r="209" spans="1:7" ht="16" customHeight="1" thickBot="1" x14ac:dyDescent="0.2">
      <c r="A209" s="8">
        <v>208</v>
      </c>
      <c r="B209" s="6" t="s">
        <v>31</v>
      </c>
      <c r="C209" s="6" t="s">
        <v>32</v>
      </c>
      <c r="D209" s="6" t="s">
        <v>1129</v>
      </c>
      <c r="E209" s="6" t="s">
        <v>174</v>
      </c>
      <c r="F209" s="6" t="s">
        <v>1130</v>
      </c>
      <c r="G209" s="6" t="s">
        <v>52</v>
      </c>
    </row>
    <row r="210" spans="1:7" ht="16" customHeight="1" thickBot="1" x14ac:dyDescent="0.2">
      <c r="A210" s="8">
        <v>209</v>
      </c>
      <c r="B210" s="6" t="s">
        <v>31</v>
      </c>
      <c r="C210" s="6" t="s">
        <v>32</v>
      </c>
      <c r="D210" s="6" t="s">
        <v>1131</v>
      </c>
      <c r="E210" s="6" t="s">
        <v>174</v>
      </c>
      <c r="F210" s="6" t="s">
        <v>1132</v>
      </c>
      <c r="G210" s="6" t="s">
        <v>52</v>
      </c>
    </row>
    <row r="211" spans="1:7" ht="16" customHeight="1" thickBot="1" x14ac:dyDescent="0.2">
      <c r="A211" s="8">
        <v>210</v>
      </c>
      <c r="B211" s="6" t="s">
        <v>31</v>
      </c>
      <c r="C211" s="6" t="s">
        <v>27</v>
      </c>
      <c r="D211" s="6" t="s">
        <v>1133</v>
      </c>
      <c r="E211" s="6" t="s">
        <v>1134</v>
      </c>
      <c r="F211" s="6" t="s">
        <v>1135</v>
      </c>
      <c r="G211" s="6" t="s">
        <v>25</v>
      </c>
    </row>
    <row r="212" spans="1:7" ht="16" customHeight="1" thickBot="1" x14ac:dyDescent="0.2">
      <c r="A212" s="8">
        <v>211</v>
      </c>
      <c r="B212" s="6" t="s">
        <v>31</v>
      </c>
      <c r="C212" s="6" t="s">
        <v>27</v>
      </c>
      <c r="D212" s="6" t="s">
        <v>1136</v>
      </c>
      <c r="E212" s="6" t="s">
        <v>1137</v>
      </c>
      <c r="F212" s="6" t="s">
        <v>1138</v>
      </c>
      <c r="G212" s="6" t="s">
        <v>25</v>
      </c>
    </row>
    <row r="213" spans="1:7" ht="16" customHeight="1" thickBot="1" x14ac:dyDescent="0.2">
      <c r="A213" s="8">
        <v>212</v>
      </c>
      <c r="B213" s="6" t="s">
        <v>31</v>
      </c>
      <c r="C213" s="6" t="s">
        <v>21</v>
      </c>
      <c r="D213" s="6" t="s">
        <v>1139</v>
      </c>
      <c r="E213" s="6" t="s">
        <v>540</v>
      </c>
      <c r="F213" s="6" t="s">
        <v>1140</v>
      </c>
      <c r="G213" s="6" t="s">
        <v>15</v>
      </c>
    </row>
    <row r="214" spans="1:7" ht="16" customHeight="1" thickBot="1" x14ac:dyDescent="0.2">
      <c r="A214" s="8">
        <v>213</v>
      </c>
      <c r="B214" s="6" t="s">
        <v>31</v>
      </c>
      <c r="C214" s="6" t="s">
        <v>21</v>
      </c>
      <c r="D214" s="6" t="s">
        <v>1141</v>
      </c>
      <c r="E214" s="6" t="s">
        <v>127</v>
      </c>
      <c r="F214" s="6" t="s">
        <v>1142</v>
      </c>
      <c r="G214" s="6" t="s">
        <v>25</v>
      </c>
    </row>
    <row r="215" spans="1:7" ht="16" customHeight="1" thickBot="1" x14ac:dyDescent="0.2">
      <c r="A215" s="8">
        <v>214</v>
      </c>
      <c r="B215" s="6" t="s">
        <v>31</v>
      </c>
      <c r="C215" s="6" t="s">
        <v>21</v>
      </c>
      <c r="D215" s="6" t="s">
        <v>1143</v>
      </c>
      <c r="E215" s="6" t="s">
        <v>543</v>
      </c>
      <c r="F215" s="6" t="s">
        <v>1144</v>
      </c>
      <c r="G215" s="6" t="s">
        <v>25</v>
      </c>
    </row>
    <row r="216" spans="1:7" ht="16" customHeight="1" thickBot="1" x14ac:dyDescent="0.2">
      <c r="A216" s="8">
        <v>215</v>
      </c>
      <c r="B216" s="6" t="s">
        <v>31</v>
      </c>
      <c r="C216" s="6" t="s">
        <v>27</v>
      </c>
      <c r="D216" s="6" t="s">
        <v>1145</v>
      </c>
      <c r="E216" s="6" t="s">
        <v>546</v>
      </c>
      <c r="F216" s="6" t="s">
        <v>1146</v>
      </c>
      <c r="G216" s="6" t="s">
        <v>25</v>
      </c>
    </row>
    <row r="217" spans="1:7" ht="16" customHeight="1" thickBot="1" x14ac:dyDescent="0.2">
      <c r="A217" s="8">
        <v>216</v>
      </c>
      <c r="B217" s="6" t="s">
        <v>31</v>
      </c>
      <c r="C217" s="6" t="s">
        <v>27</v>
      </c>
      <c r="D217" s="6" t="s">
        <v>1147</v>
      </c>
      <c r="E217" s="6" t="s">
        <v>1148</v>
      </c>
      <c r="F217" s="6" t="s">
        <v>1149</v>
      </c>
      <c r="G217" s="6" t="s">
        <v>25</v>
      </c>
    </row>
    <row r="218" spans="1:7" ht="16" customHeight="1" thickBot="1" x14ac:dyDescent="0.2">
      <c r="A218" s="8">
        <v>217</v>
      </c>
      <c r="B218" s="6" t="s">
        <v>31</v>
      </c>
      <c r="C218" s="6" t="s">
        <v>27</v>
      </c>
      <c r="D218" s="6" t="s">
        <v>1150</v>
      </c>
      <c r="E218" s="6" t="s">
        <v>1151</v>
      </c>
      <c r="F218" s="6" t="s">
        <v>1152</v>
      </c>
      <c r="G218" s="6" t="s">
        <v>25</v>
      </c>
    </row>
    <row r="219" spans="1:7" ht="16" customHeight="1" thickBot="1" x14ac:dyDescent="0.2">
      <c r="A219" s="8">
        <v>218</v>
      </c>
      <c r="B219" s="6" t="s">
        <v>31</v>
      </c>
      <c r="C219" s="6" t="s">
        <v>27</v>
      </c>
      <c r="D219" s="6" t="s">
        <v>1153</v>
      </c>
      <c r="E219" s="6" t="s">
        <v>1154</v>
      </c>
      <c r="F219" s="6" t="s">
        <v>1155</v>
      </c>
      <c r="G219" s="6" t="s">
        <v>25</v>
      </c>
    </row>
    <row r="220" spans="1:7" ht="16" customHeight="1" thickBot="1" x14ac:dyDescent="0.2">
      <c r="A220" s="8">
        <v>219</v>
      </c>
      <c r="B220" s="6" t="s">
        <v>31</v>
      </c>
      <c r="C220" s="6" t="s">
        <v>27</v>
      </c>
      <c r="D220" s="6" t="s">
        <v>1156</v>
      </c>
      <c r="E220" s="6" t="s">
        <v>1157</v>
      </c>
      <c r="F220" s="6" t="s">
        <v>1158</v>
      </c>
      <c r="G220" s="6" t="s">
        <v>25</v>
      </c>
    </row>
    <row r="221" spans="1:7" ht="16" customHeight="1" thickBot="1" x14ac:dyDescent="0.2">
      <c r="A221" s="8">
        <v>220</v>
      </c>
      <c r="B221" s="6" t="s">
        <v>26</v>
      </c>
      <c r="C221" s="6" t="s">
        <v>21</v>
      </c>
      <c r="D221" s="6" t="s">
        <v>1159</v>
      </c>
      <c r="E221" s="6" t="s">
        <v>560</v>
      </c>
      <c r="F221" s="6" t="s">
        <v>1160</v>
      </c>
      <c r="G221" s="6" t="s">
        <v>25</v>
      </c>
    </row>
    <row r="222" spans="1:7" ht="16" customHeight="1" thickBot="1" x14ac:dyDescent="0.2">
      <c r="A222" s="8">
        <v>221</v>
      </c>
      <c r="B222" s="6" t="s">
        <v>26</v>
      </c>
      <c r="C222" s="6" t="s">
        <v>21</v>
      </c>
      <c r="D222" s="6" t="s">
        <v>1161</v>
      </c>
      <c r="E222" s="6" t="s">
        <v>127</v>
      </c>
      <c r="F222" s="6" t="s">
        <v>1162</v>
      </c>
      <c r="G222" s="6" t="s">
        <v>25</v>
      </c>
    </row>
    <row r="223" spans="1:7" ht="16" customHeight="1" thickBot="1" x14ac:dyDescent="0.2">
      <c r="A223" s="8">
        <v>222</v>
      </c>
      <c r="B223" s="6" t="s">
        <v>26</v>
      </c>
      <c r="C223" s="6" t="s">
        <v>21</v>
      </c>
      <c r="D223" s="6" t="s">
        <v>1163</v>
      </c>
      <c r="E223" s="6" t="s">
        <v>563</v>
      </c>
      <c r="F223" s="6" t="s">
        <v>1164</v>
      </c>
      <c r="G223" s="6" t="s">
        <v>25</v>
      </c>
    </row>
    <row r="224" spans="1:7" ht="16" customHeight="1" thickBot="1" x14ac:dyDescent="0.2">
      <c r="A224" s="8">
        <v>223</v>
      </c>
      <c r="B224" s="6" t="s">
        <v>10</v>
      </c>
      <c r="C224" s="6" t="s">
        <v>16</v>
      </c>
      <c r="D224" s="6" t="s">
        <v>1165</v>
      </c>
      <c r="E224" s="6" t="s">
        <v>127</v>
      </c>
      <c r="F224" s="6" t="s">
        <v>1166</v>
      </c>
      <c r="G224" s="6" t="s">
        <v>25</v>
      </c>
    </row>
    <row r="225" spans="1:7" ht="16" customHeight="1" thickBot="1" x14ac:dyDescent="0.2">
      <c r="A225" s="8">
        <v>224</v>
      </c>
      <c r="B225" s="6" t="s">
        <v>10</v>
      </c>
      <c r="C225" s="6" t="s">
        <v>16</v>
      </c>
      <c r="D225" s="6" t="s">
        <v>1167</v>
      </c>
      <c r="E225" s="6" t="s">
        <v>98</v>
      </c>
      <c r="F225" s="6" t="s">
        <v>1168</v>
      </c>
      <c r="G225" s="6" t="s">
        <v>25</v>
      </c>
    </row>
    <row r="226" spans="1:7" ht="16" customHeight="1" thickBot="1" x14ac:dyDescent="0.2">
      <c r="A226" s="8">
        <v>225</v>
      </c>
      <c r="B226" s="6" t="s">
        <v>10</v>
      </c>
      <c r="C226" s="6" t="s">
        <v>16</v>
      </c>
      <c r="D226" s="6" t="s">
        <v>1169</v>
      </c>
      <c r="E226" s="6" t="s">
        <v>159</v>
      </c>
      <c r="F226" s="6" t="s">
        <v>1170</v>
      </c>
      <c r="G226" s="6" t="s">
        <v>25</v>
      </c>
    </row>
    <row r="227" spans="1:7" ht="16" customHeight="1" thickBot="1" x14ac:dyDescent="0.2">
      <c r="A227" s="8">
        <v>226</v>
      </c>
      <c r="B227" s="6" t="s">
        <v>10</v>
      </c>
      <c r="C227" s="6" t="s">
        <v>16</v>
      </c>
      <c r="D227" s="6" t="s">
        <v>1171</v>
      </c>
      <c r="E227" s="6" t="s">
        <v>127</v>
      </c>
      <c r="F227" s="6" t="s">
        <v>1172</v>
      </c>
      <c r="G227" s="6" t="s">
        <v>25</v>
      </c>
    </row>
    <row r="228" spans="1:7" ht="16" customHeight="1" thickBot="1" x14ac:dyDescent="0.2">
      <c r="A228" s="8">
        <v>227</v>
      </c>
      <c r="B228" s="6" t="s">
        <v>10</v>
      </c>
      <c r="C228" s="6" t="s">
        <v>16</v>
      </c>
      <c r="D228" s="6" t="s">
        <v>1173</v>
      </c>
      <c r="E228" s="6" t="s">
        <v>98</v>
      </c>
      <c r="F228" s="6" t="s">
        <v>1174</v>
      </c>
      <c r="G228" s="6" t="s">
        <v>15</v>
      </c>
    </row>
    <row r="229" spans="1:7" ht="16" customHeight="1" thickBot="1" x14ac:dyDescent="0.2">
      <c r="A229" s="8">
        <v>228</v>
      </c>
      <c r="B229" s="6" t="s">
        <v>26</v>
      </c>
      <c r="C229" s="6" t="s">
        <v>27</v>
      </c>
      <c r="D229" s="6" t="s">
        <v>1175</v>
      </c>
      <c r="E229" s="6" t="s">
        <v>1176</v>
      </c>
      <c r="F229" s="6" t="s">
        <v>1177</v>
      </c>
      <c r="G229" s="6" t="s">
        <v>25</v>
      </c>
    </row>
    <row r="230" spans="1:7" ht="16" customHeight="1" thickBot="1" x14ac:dyDescent="0.2">
      <c r="A230" s="8">
        <v>229</v>
      </c>
      <c r="B230" s="6" t="s">
        <v>26</v>
      </c>
      <c r="C230" s="6" t="s">
        <v>27</v>
      </c>
      <c r="D230" s="6" t="s">
        <v>1178</v>
      </c>
      <c r="E230" s="6" t="s">
        <v>1179</v>
      </c>
      <c r="F230" s="6" t="s">
        <v>1180</v>
      </c>
      <c r="G230" s="6" t="s">
        <v>25</v>
      </c>
    </row>
    <row r="231" spans="1:7" ht="16" customHeight="1" thickBot="1" x14ac:dyDescent="0.2">
      <c r="A231" s="8">
        <v>230</v>
      </c>
      <c r="B231" s="6" t="s">
        <v>26</v>
      </c>
      <c r="C231" s="6" t="s">
        <v>27</v>
      </c>
      <c r="D231" s="6" t="s">
        <v>1181</v>
      </c>
      <c r="E231" s="6" t="s">
        <v>1182</v>
      </c>
      <c r="F231" s="6" t="s">
        <v>1183</v>
      </c>
      <c r="G231" s="6" t="s">
        <v>25</v>
      </c>
    </row>
    <row r="232" spans="1:7" ht="16" customHeight="1" thickBot="1" x14ac:dyDescent="0.2">
      <c r="A232" s="8">
        <v>231</v>
      </c>
      <c r="B232" s="6" t="s">
        <v>26</v>
      </c>
      <c r="C232" s="6" t="s">
        <v>27</v>
      </c>
      <c r="D232" s="6" t="s">
        <v>1184</v>
      </c>
      <c r="E232" s="6" t="s">
        <v>584</v>
      </c>
      <c r="F232" s="6" t="s">
        <v>1185</v>
      </c>
      <c r="G232" s="6" t="s">
        <v>52</v>
      </c>
    </row>
    <row r="233" spans="1:7" ht="16" customHeight="1" thickBot="1" x14ac:dyDescent="0.2">
      <c r="A233" s="8">
        <v>232</v>
      </c>
      <c r="B233" s="6" t="s">
        <v>26</v>
      </c>
      <c r="C233" s="6" t="s">
        <v>21</v>
      </c>
      <c r="D233" s="6" t="s">
        <v>1186</v>
      </c>
      <c r="E233" s="6" t="s">
        <v>1187</v>
      </c>
      <c r="F233" s="6" t="s">
        <v>1188</v>
      </c>
      <c r="G233" s="6" t="s">
        <v>52</v>
      </c>
    </row>
    <row r="234" spans="1:7" ht="16" customHeight="1" thickBot="1" x14ac:dyDescent="0.2">
      <c r="A234" s="8">
        <v>233</v>
      </c>
      <c r="B234" s="6" t="s">
        <v>26</v>
      </c>
      <c r="C234" s="6" t="s">
        <v>27</v>
      </c>
      <c r="D234" s="6" t="s">
        <v>1189</v>
      </c>
      <c r="E234" s="6" t="s">
        <v>588</v>
      </c>
      <c r="F234" s="6" t="s">
        <v>1190</v>
      </c>
      <c r="G234" s="6" t="s">
        <v>52</v>
      </c>
    </row>
    <row r="235" spans="1:7" ht="16" customHeight="1" thickBot="1" x14ac:dyDescent="0.2">
      <c r="A235" s="8">
        <v>234</v>
      </c>
      <c r="B235" s="6" t="s">
        <v>26</v>
      </c>
      <c r="C235" s="6" t="s">
        <v>21</v>
      </c>
      <c r="D235" s="6" t="s">
        <v>1191</v>
      </c>
      <c r="E235" s="6" t="s">
        <v>127</v>
      </c>
      <c r="F235" s="6" t="s">
        <v>1192</v>
      </c>
      <c r="G235" s="6" t="s">
        <v>25</v>
      </c>
    </row>
    <row r="236" spans="1:7" ht="16" customHeight="1" thickBot="1" x14ac:dyDescent="0.2">
      <c r="A236" s="8">
        <v>235</v>
      </c>
      <c r="B236" s="6" t="s">
        <v>26</v>
      </c>
      <c r="C236" s="6" t="s">
        <v>21</v>
      </c>
      <c r="D236" s="6" t="s">
        <v>1193</v>
      </c>
      <c r="E236" s="6" t="s">
        <v>593</v>
      </c>
      <c r="F236" s="6" t="s">
        <v>1194</v>
      </c>
      <c r="G236" s="6" t="s">
        <v>25</v>
      </c>
    </row>
    <row r="237" spans="1:7" ht="16" customHeight="1" thickBot="1" x14ac:dyDescent="0.2">
      <c r="A237" s="8">
        <v>236</v>
      </c>
      <c r="B237" s="6" t="s">
        <v>20</v>
      </c>
      <c r="C237" s="6" t="s">
        <v>16</v>
      </c>
      <c r="D237" s="6" t="s">
        <v>1195</v>
      </c>
      <c r="E237" s="6" t="s">
        <v>127</v>
      </c>
      <c r="F237" s="6" t="s">
        <v>1196</v>
      </c>
      <c r="G237" s="6" t="s">
        <v>25</v>
      </c>
    </row>
    <row r="238" spans="1:7" ht="16" customHeight="1" thickBot="1" x14ac:dyDescent="0.2">
      <c r="A238" s="8">
        <v>237</v>
      </c>
      <c r="B238" s="6" t="s">
        <v>20</v>
      </c>
      <c r="C238" s="6" t="s">
        <v>16</v>
      </c>
      <c r="D238" s="6" t="s">
        <v>1197</v>
      </c>
      <c r="E238" s="6" t="s">
        <v>98</v>
      </c>
      <c r="F238" s="6" t="s">
        <v>1198</v>
      </c>
      <c r="G238" s="6" t="s">
        <v>52</v>
      </c>
    </row>
    <row r="239" spans="1:7" ht="16" customHeight="1" thickBot="1" x14ac:dyDescent="0.2">
      <c r="A239" s="8">
        <v>238</v>
      </c>
      <c r="B239" s="6" t="s">
        <v>20</v>
      </c>
      <c r="C239" s="6" t="s">
        <v>21</v>
      </c>
      <c r="D239" s="6" t="s">
        <v>1199</v>
      </c>
      <c r="E239" s="6" t="s">
        <v>599</v>
      </c>
      <c r="F239" s="6" t="s">
        <v>1200</v>
      </c>
      <c r="G239" s="6" t="s">
        <v>25</v>
      </c>
    </row>
    <row r="240" spans="1:7" ht="16" customHeight="1" thickBot="1" x14ac:dyDescent="0.2">
      <c r="A240" s="8">
        <v>239</v>
      </c>
      <c r="B240" s="6" t="s">
        <v>20</v>
      </c>
      <c r="C240" s="6" t="s">
        <v>21</v>
      </c>
      <c r="D240" s="6" t="s">
        <v>1201</v>
      </c>
      <c r="E240" s="6" t="s">
        <v>601</v>
      </c>
      <c r="F240" s="6" t="s">
        <v>1202</v>
      </c>
      <c r="G240" s="6" t="s">
        <v>15</v>
      </c>
    </row>
    <row r="241" spans="1:7" ht="16" customHeight="1" thickBot="1" x14ac:dyDescent="0.2">
      <c r="A241" s="8">
        <v>240</v>
      </c>
      <c r="B241" s="6" t="s">
        <v>20</v>
      </c>
      <c r="C241" s="6" t="s">
        <v>21</v>
      </c>
      <c r="D241" s="6" t="s">
        <v>1203</v>
      </c>
      <c r="E241" s="6" t="s">
        <v>563</v>
      </c>
      <c r="F241" s="6" t="s">
        <v>1204</v>
      </c>
      <c r="G241" s="6" t="s">
        <v>25</v>
      </c>
    </row>
    <row r="242" spans="1:7" ht="16" customHeight="1" thickBot="1" x14ac:dyDescent="0.2">
      <c r="A242" s="8">
        <v>241</v>
      </c>
      <c r="B242" s="6" t="s">
        <v>20</v>
      </c>
      <c r="C242" s="6" t="s">
        <v>21</v>
      </c>
      <c r="D242" s="6" t="s">
        <v>1205</v>
      </c>
      <c r="E242" s="6" t="s">
        <v>503</v>
      </c>
      <c r="F242" s="6" t="s">
        <v>1206</v>
      </c>
      <c r="G242" s="6" t="s">
        <v>25</v>
      </c>
    </row>
    <row r="243" spans="1:7" ht="16" customHeight="1" thickBot="1" x14ac:dyDescent="0.2">
      <c r="A243" s="8">
        <v>242</v>
      </c>
      <c r="B243" s="6" t="s">
        <v>20</v>
      </c>
      <c r="C243" s="6" t="s">
        <v>21</v>
      </c>
      <c r="D243" s="6" t="s">
        <v>1207</v>
      </c>
      <c r="E243" s="6" t="s">
        <v>1208</v>
      </c>
      <c r="F243" s="6" t="s">
        <v>1209</v>
      </c>
      <c r="G243" s="6" t="s">
        <v>25</v>
      </c>
    </row>
    <row r="244" spans="1:7" ht="16" customHeight="1" thickBot="1" x14ac:dyDescent="0.2">
      <c r="A244" s="8">
        <v>243</v>
      </c>
      <c r="B244" s="6" t="s">
        <v>20</v>
      </c>
      <c r="C244" s="6" t="s">
        <v>16</v>
      </c>
      <c r="D244" s="6" t="s">
        <v>1210</v>
      </c>
      <c r="E244" s="6" t="s">
        <v>159</v>
      </c>
      <c r="F244" s="6" t="s">
        <v>1211</v>
      </c>
      <c r="G244" s="6" t="s">
        <v>25</v>
      </c>
    </row>
    <row r="245" spans="1:7" ht="16" customHeight="1" thickBot="1" x14ac:dyDescent="0.2">
      <c r="A245" s="8">
        <v>244</v>
      </c>
      <c r="B245" s="6" t="s">
        <v>20</v>
      </c>
      <c r="C245" s="6" t="s">
        <v>16</v>
      </c>
      <c r="D245" s="6" t="s">
        <v>1212</v>
      </c>
      <c r="E245" s="6" t="s">
        <v>106</v>
      </c>
      <c r="F245" s="6" t="s">
        <v>1213</v>
      </c>
      <c r="G245" s="6" t="s">
        <v>52</v>
      </c>
    </row>
    <row r="246" spans="1:7" ht="16" customHeight="1" thickBot="1" x14ac:dyDescent="0.2">
      <c r="A246" s="8">
        <v>245</v>
      </c>
      <c r="B246" s="6" t="s">
        <v>20</v>
      </c>
      <c r="C246" s="6" t="s">
        <v>27</v>
      </c>
      <c r="D246" s="6" t="s">
        <v>1214</v>
      </c>
      <c r="E246" s="8">
        <v>27</v>
      </c>
      <c r="F246" s="6" t="s">
        <v>1215</v>
      </c>
      <c r="G246" s="6" t="s">
        <v>52</v>
      </c>
    </row>
    <row r="247" spans="1:7" ht="16" customHeight="1" thickBot="1" x14ac:dyDescent="0.2">
      <c r="A247" s="8">
        <v>246</v>
      </c>
      <c r="B247" s="6" t="s">
        <v>20</v>
      </c>
      <c r="C247" s="6" t="s">
        <v>27</v>
      </c>
      <c r="D247" s="6" t="s">
        <v>1216</v>
      </c>
      <c r="E247" s="6" t="s">
        <v>614</v>
      </c>
      <c r="F247" s="6" t="s">
        <v>1217</v>
      </c>
      <c r="G247" s="6" t="s">
        <v>25</v>
      </c>
    </row>
    <row r="248" spans="1:7" ht="16" customHeight="1" thickBot="1" x14ac:dyDescent="0.2">
      <c r="A248" s="8">
        <v>247</v>
      </c>
      <c r="B248" s="6" t="s">
        <v>20</v>
      </c>
      <c r="C248" s="6" t="s">
        <v>21</v>
      </c>
      <c r="D248" s="6" t="s">
        <v>1218</v>
      </c>
      <c r="E248" s="6" t="s">
        <v>616</v>
      </c>
      <c r="F248" s="6" t="s">
        <v>1219</v>
      </c>
      <c r="G248" s="6" t="s">
        <v>15</v>
      </c>
    </row>
    <row r="249" spans="1:7" ht="16" customHeight="1" thickBot="1" x14ac:dyDescent="0.2">
      <c r="A249" s="8">
        <v>248</v>
      </c>
      <c r="B249" s="6" t="s">
        <v>20</v>
      </c>
      <c r="C249" s="6" t="s">
        <v>21</v>
      </c>
      <c r="D249" s="6" t="s">
        <v>1220</v>
      </c>
      <c r="E249" s="6" t="s">
        <v>618</v>
      </c>
      <c r="F249" s="6" t="s">
        <v>1221</v>
      </c>
      <c r="G249" s="6" t="s">
        <v>15</v>
      </c>
    </row>
    <row r="250" spans="1:7" ht="16" customHeight="1" thickBot="1" x14ac:dyDescent="0.2">
      <c r="A250" s="8">
        <v>249</v>
      </c>
      <c r="B250" s="6" t="s">
        <v>20</v>
      </c>
      <c r="C250" s="6" t="s">
        <v>21</v>
      </c>
      <c r="D250" s="6" t="s">
        <v>1222</v>
      </c>
      <c r="E250" s="6" t="s">
        <v>620</v>
      </c>
      <c r="F250" s="6" t="s">
        <v>1223</v>
      </c>
      <c r="G250" s="6" t="s">
        <v>25</v>
      </c>
    </row>
    <row r="251" spans="1:7" ht="16" customHeight="1" thickBot="1" x14ac:dyDescent="0.2">
      <c r="A251" s="8">
        <v>250</v>
      </c>
      <c r="B251" s="6" t="s">
        <v>20</v>
      </c>
      <c r="C251" s="6" t="s">
        <v>21</v>
      </c>
      <c r="D251" s="6" t="s">
        <v>1224</v>
      </c>
      <c r="E251" s="6" t="s">
        <v>622</v>
      </c>
      <c r="F251" s="6" t="s">
        <v>1225</v>
      </c>
      <c r="G251" s="6" t="s">
        <v>25</v>
      </c>
    </row>
    <row r="252" spans="1:7" ht="15.75" customHeight="1" x14ac:dyDescent="0.15">
      <c r="A252" s="5"/>
    </row>
    <row r="253" spans="1:7" ht="15.75" customHeight="1" x14ac:dyDescent="0.15">
      <c r="A253" s="5"/>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28F040950A8AF4AA457F88987530161" ma:contentTypeVersion="10" ma:contentTypeDescription="Create a new document." ma:contentTypeScope="" ma:versionID="7cea7fa3c5029e379054ae037f342f24">
  <xsd:schema xmlns:xsd="http://www.w3.org/2001/XMLSchema" xmlns:xs="http://www.w3.org/2001/XMLSchema" xmlns:p="http://schemas.microsoft.com/office/2006/metadata/properties" xmlns:ns3="30f906d6-8ec2-48ed-88de-e5adfd28736c" targetNamespace="http://schemas.microsoft.com/office/2006/metadata/properties" ma:root="true" ma:fieldsID="7b925b1dd0b9c9ff54e0e5daf9ef9d23" ns3:_="">
    <xsd:import namespace="30f906d6-8ec2-48ed-88de-e5adfd28736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f906d6-8ec2-48ed-88de-e5adfd28736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30f906d6-8ec2-48ed-88de-e5adfd28736c" xsi:nil="true"/>
  </documentManagement>
</p:properties>
</file>

<file path=customXml/itemProps1.xml><?xml version="1.0" encoding="utf-8"?>
<ds:datastoreItem xmlns:ds="http://schemas.openxmlformats.org/officeDocument/2006/customXml" ds:itemID="{9C3D125C-615B-4AB5-90FC-EE3D15663982}">
  <ds:schemaRefs>
    <ds:schemaRef ds:uri="http://schemas.microsoft.com/sharepoint/v3/contenttype/forms"/>
  </ds:schemaRefs>
</ds:datastoreItem>
</file>

<file path=customXml/itemProps2.xml><?xml version="1.0" encoding="utf-8"?>
<ds:datastoreItem xmlns:ds="http://schemas.openxmlformats.org/officeDocument/2006/customXml" ds:itemID="{0E9804BA-4B76-42C5-AC2B-D2D8078113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f906d6-8ec2-48ed-88de-e5adfd2873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6F97AE-FF8B-49FD-ABA5-329C7D0F790F}">
  <ds:schemaRefs>
    <ds:schemaRef ds:uri="http://schemas.openxmlformats.org/package/2006/metadata/core-properties"/>
    <ds:schemaRef ds:uri="30f906d6-8ec2-48ed-88de-e5adfd28736c"/>
    <ds:schemaRef ds:uri="http://purl.org/dc/elements/1.1/"/>
    <ds:schemaRef ds:uri="http://www.w3.org/XML/1998/namespace"/>
    <ds:schemaRef ds:uri="http://purl.org/dc/terms/"/>
    <ds:schemaRef ds:uri="http://schemas.microsoft.com/office/infopath/2007/PartnerControls"/>
    <ds:schemaRef ds:uri="http://schemas.microsoft.com/office/2006/metadata/properties"/>
    <ds:schemaRef ds:uri="http://schemas.microsoft.com/office/2006/documentManagement/typ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eng question set</vt:lpstr>
      <vt:lpstr>chinese question 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FUNG</dc:creator>
  <cp:keywords/>
  <dc:description/>
  <cp:lastModifiedBy>TAI, Lee Na [Student]</cp:lastModifiedBy>
  <cp:revision/>
  <dcterms:created xsi:type="dcterms:W3CDTF">2026-01-15T15:14:35Z</dcterms:created>
  <dcterms:modified xsi:type="dcterms:W3CDTF">2026-03-09T09:36:28Z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0x010100E28F040950A8AF4AA457F88987530161</vt:lpwstr>
  </property>
</Properties>
</file>